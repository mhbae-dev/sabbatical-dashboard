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<sst xmlns="http://schemas.openxmlformats.org/spreadsheetml/2006/main" count="500" uniqueCount="319">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</sst>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53.96</v>
      </c>
      <c r="G7" s="12" t="n">
        <f aca="false">D7+D13-F7</f>
        <v>1167.04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17.96</v>
      </c>
      <c r="D22" s="18" t="n">
        <f aca="false">B22-C22</f>
        <v>3372.04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0</v>
      </c>
      <c r="D23" s="18" t="n">
        <f aca="false">B23-C23</f>
        <v>970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2728.46</v>
      </c>
      <c r="D27" s="24" t="n">
        <f aca="false">SUM(D20:D26)</f>
        <v>7271.54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2728.46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7271.54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false" outlineLevel="0" collapsed="false">
      <c r="A37" s="6" t="s">
        <v>45</v>
      </c>
    </row>
    <row r="38" customFormat="false" ht="15" hidden="false" customHeight="false" outlineLevel="0" collapsed="false">
      <c r="A38" s="20" t="s">
        <v>46</v>
      </c>
      <c r="B38" s="28" t="n">
        <v>8034.27</v>
      </c>
    </row>
    <row r="39" customFormat="false" ht="15" hidden="false" customHeight="false" outlineLevel="0" collapsed="false">
      <c r="A39" s="20" t="s">
        <v>47</v>
      </c>
      <c r="B39" s="27" t="n">
        <f aca="false">Tracker!I4</f>
        <v>2728.46</v>
      </c>
    </row>
    <row r="40" customFormat="false" ht="15" hidden="false" customHeight="false" outlineLevel="0" collapsed="false">
      <c r="A40" s="20" t="s">
        <v>48</v>
      </c>
      <c r="B40" s="27" t="n">
        <f aca="false">B38-B39</f>
        <v>5305.81</v>
      </c>
    </row>
    <row r="41" customFormat="false" ht="15" hidden="false" customHeight="fals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fals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fals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fals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fals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2728.46</v>
      </c>
    </row>
    <row r="5" customFormat="false" ht="15" hidden="false" customHeight="true" outlineLevel="0" collapsed="false">
      <c r="A5" s="51" t="s">
        <v>291</v>
      </c>
      <c r="B5" s="51" t="s">
        <v>292</v>
      </c>
      <c r="C5" s="51" t="s">
        <v>33</v>
      </c>
      <c r="D5" s="51" t="s">
        <v>293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291</v>
      </c>
      <c r="B6" s="51" t="s">
        <v>292</v>
      </c>
      <c r="C6" s="51" t="s">
        <v>38</v>
      </c>
      <c r="D6" s="51" t="s">
        <v>294</v>
      </c>
      <c r="E6" s="52" t="n">
        <v>281.62</v>
      </c>
      <c r="F6" s="51" t="s">
        <v>41</v>
      </c>
      <c r="H6" s="15" t="s">
        <v>295</v>
      </c>
      <c r="I6" s="24" t="n">
        <f aca="false">I4+I5</f>
        <v>2728.46</v>
      </c>
    </row>
    <row r="7" customFormat="false" ht="15" hidden="false" customHeight="true" outlineLevel="0" collapsed="false">
      <c r="A7" s="51" t="s">
        <v>291</v>
      </c>
      <c r="B7" s="51" t="s">
        <v>11</v>
      </c>
      <c r="C7" s="51" t="s">
        <v>34</v>
      </c>
      <c r="D7" s="51" t="s">
        <v>296</v>
      </c>
      <c r="E7" s="52" t="n">
        <v>36</v>
      </c>
      <c r="F7" s="51" t="s">
        <v>41</v>
      </c>
      <c r="H7" s="20" t="s">
        <v>297</v>
      </c>
      <c r="I7" s="27" t="n">
        <f aca="false">Overview!B3-I6</f>
        <v>7271.54</v>
      </c>
    </row>
    <row r="8" customFormat="false" ht="15" hidden="false" customHeight="true" outlineLevel="0" collapsed="false">
      <c r="A8" s="51" t="s">
        <v>298</v>
      </c>
      <c r="B8" s="51" t="s">
        <v>292</v>
      </c>
      <c r="C8" s="51" t="s">
        <v>38</v>
      </c>
      <c r="D8" s="51" t="s">
        <v>299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300</v>
      </c>
      <c r="B9" s="51" t="s">
        <v>292</v>
      </c>
      <c r="C9" s="51" t="s">
        <v>33</v>
      </c>
      <c r="D9" s="51" t="s">
        <v>301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300</v>
      </c>
      <c r="B10" s="51" t="s">
        <v>13</v>
      </c>
      <c r="C10" s="51" t="s">
        <v>34</v>
      </c>
      <c r="D10" s="51" t="s">
        <v>302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300</v>
      </c>
      <c r="B11" s="51" t="s">
        <v>13</v>
      </c>
      <c r="C11" s="51" t="s">
        <v>34</v>
      </c>
      <c r="D11" s="51" t="s">
        <v>303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304</v>
      </c>
      <c r="B12" s="51" t="s">
        <v>292</v>
      </c>
      <c r="C12" s="51" t="s">
        <v>33</v>
      </c>
      <c r="D12" s="51" t="s">
        <v>305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306</v>
      </c>
      <c r="B13" s="51" t="s">
        <v>13</v>
      </c>
      <c r="C13" s="51" t="s">
        <v>34</v>
      </c>
      <c r="D13" s="51" t="s">
        <v>307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308</v>
      </c>
      <c r="B14" s="51" t="s">
        <v>13</v>
      </c>
      <c r="C14" s="51" t="s">
        <v>34</v>
      </c>
      <c r="D14" s="51" t="s">
        <v>309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310</v>
      </c>
      <c r="B15" s="51" t="s">
        <v>13</v>
      </c>
      <c r="C15" s="51" t="s">
        <v>34</v>
      </c>
      <c r="D15" s="51" t="s">
        <v>311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310</v>
      </c>
      <c r="B16" s="51" t="s">
        <v>13</v>
      </c>
      <c r="C16" s="51" t="s">
        <v>34</v>
      </c>
      <c r="D16" s="51" t="s">
        <v>312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310</v>
      </c>
      <c r="B17" s="51" t="s">
        <v>13</v>
      </c>
      <c r="C17" s="51" t="s">
        <v>34</v>
      </c>
      <c r="D17" s="51" t="s">
        <v>313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314</v>
      </c>
      <c r="B18" s="51" t="s">
        <v>292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315</v>
      </c>
      <c r="B19" s="51" t="s">
        <v>292</v>
      </c>
      <c r="C19" s="51" t="s">
        <v>38</v>
      </c>
      <c r="D19" s="51" t="s">
        <v>316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315</v>
      </c>
      <c r="B20" s="51" t="s">
        <v>11</v>
      </c>
      <c r="C20" s="51" t="s">
        <v>35</v>
      </c>
      <c r="D20" s="51" t="s">
        <v>317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315</v>
      </c>
      <c r="B21" s="51" t="s">
        <v>11</v>
      </c>
      <c r="C21" s="51" t="s">
        <v>35</v>
      </c>
      <c r="D21" s="51" t="s">
        <v>318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/>
      <c r="B22" s="51"/>
      <c r="C22" s="51"/>
      <c r="D22" s="51"/>
      <c r="E22" s="52"/>
      <c r="F22" s="51"/>
    </row>
    <row r="23" customFormat="false" ht="15" hidden="false" customHeight="true" outlineLevel="0" collapsed="false">
      <c r="A23" s="51"/>
      <c r="B23" s="51"/>
      <c r="C23" s="51"/>
      <c r="D23" s="51"/>
      <c r="E23" s="52"/>
      <c r="F23" s="51"/>
    </row>
    <row r="24" customFormat="false" ht="15" hidden="false" customHeight="true" outlineLevel="0" collapsed="false">
      <c r="A24" s="51"/>
      <c r="B24" s="51"/>
      <c r="C24" s="51"/>
      <c r="D24" s="51"/>
      <c r="E24" s="52"/>
      <c r="F24" s="51"/>
    </row>
    <row r="25" customFormat="false" ht="15" hidden="false" customHeight="true" outlineLevel="0" collapsed="false">
      <c r="A25" s="51"/>
      <c r="B25" s="51"/>
      <c r="C25" s="51"/>
      <c r="D25" s="51"/>
      <c r="E25" s="52"/>
      <c r="F25" s="51"/>
    </row>
    <row r="26" customFormat="false" ht="15" hidden="false" customHeight="true" outlineLevel="0" collapsed="false">
      <c r="A26" s="51"/>
      <c r="B26" s="51"/>
      <c r="C26" s="51"/>
      <c r="D26" s="51"/>
      <c r="E26" s="52"/>
      <c r="F26" s="51"/>
    </row>
    <row r="27" customFormat="false" ht="15" hidden="false" customHeight="true" outlineLevel="0" collapsed="false">
      <c r="A27" s="51"/>
      <c r="B27" s="51"/>
      <c r="C27" s="51"/>
      <c r="D27" s="51"/>
      <c r="E27" s="52"/>
      <c r="F27" s="51"/>
    </row>
    <row r="28" customFormat="false" ht="15" hidden="false" customHeight="true" outlineLevel="0" collapsed="false">
      <c r="A28" s="51"/>
      <c r="B28" s="51"/>
      <c r="C28" s="51"/>
      <c r="D28" s="51"/>
      <c r="E28" s="52"/>
      <c r="F28" s="51"/>
    </row>
    <row r="29" customFormat="false" ht="15" hidden="false" customHeight="true" outlineLevel="0" collapsed="false">
      <c r="A29" s="51"/>
      <c r="B29" s="51"/>
      <c r="C29" s="51"/>
      <c r="D29" s="51"/>
      <c r="E29" s="52"/>
      <c r="F29" s="51"/>
    </row>
    <row r="30" customFormat="false" ht="15" hidden="false" customHeight="true" outlineLevel="0" collapsed="false">
      <c r="A30" s="51"/>
      <c r="B30" s="51"/>
      <c r="C30" s="51"/>
      <c r="D30" s="51"/>
      <c r="E30" s="52"/>
      <c r="F30" s="51"/>
    </row>
    <row r="31" customFormat="false" ht="15" hidden="false" customHeight="true" outlineLevel="0" collapsed="false">
      <c r="A31" s="51"/>
      <c r="B31" s="51"/>
      <c r="C31" s="51"/>
      <c r="D31" s="51"/>
      <c r="E31" s="52"/>
      <c r="F31" s="51"/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2026-10-19T21:35:23Z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