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<sst xmlns="http://schemas.openxmlformats.org/spreadsheetml/2006/main" count="565" uniqueCount="345">
  <si>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</si>
  <si>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</si>
  <si>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</si>
  <si>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</si>
  <si>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</si>
  <si>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</si>
  <si>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</si>
  <si>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</si>
  <si>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</si>
  <si>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</si>
  <si>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</si>
  <si>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</si>
  <si>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</si>
  <si>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</si>
  <si>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</si>
  <si>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</si>
  <si>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</si>
  <si>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</si>
  <si>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</si>
  <si>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</si>
  <si>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</si>
  <si>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</si>
  <si>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</si>
  <si>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</si>
  <si>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</si>
  <si>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</si>
  <si>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</si>
  <si>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</si>
  <si>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</si>
  <si>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</si>
  <si>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</si>
  <si>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</si>
  <si>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</si>
  <si>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</si>
  <si>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</si>
  <si>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</si>
  <si>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</si>
  <si>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</si>
  <si>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</si>
  <si>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</si>
  <si>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</si>
  <si>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</si>
  <si>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</si>
  <si>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</si>
  <si>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</si>
  <si>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</si>
  <si>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</si>
  <si>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</si>
  <si>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</si>
  <si>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</si>
  <si>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</si>
  <si>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</si>
  <si>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</si>
  <si>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</si>
  <si>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</si>
  <si>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</si>
  <si>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</si>
  <si>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</si>
  <si>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</si>
  <si>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</si>
  <si>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</si>
  <si>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</si>
  <si>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</si>
  <si>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</si>
  <si>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</si>
  <si>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</si>
  <si>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</si>
  <si>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</si>
  <si>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</si>
  <si>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</si>
  <si>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</si>
  <si>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</si>
  <si>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</si>
  <si>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</si>
  <si>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</si>
  <si>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</si>
  <si>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</si>
  <si>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</si>
  <si>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</si>
  <si>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</si>
  <si>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</si>
  <si>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</si>
  <si>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</si>
  <si>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</si>
  <si>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</si>
  <si>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</si>
  <si>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</si>
  <si>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</si>
  <si>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</si>
  <si>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</si>
  <si>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</si>
  <si>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</si>
  <si>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</si>
  <si>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</si>
  <si>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</si>
  <si>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</si>
  <si>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</si>
  <si>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</si>
  <si>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</si>
  <si>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</si>
  <si>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</si>
  <si>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</si>
  <si>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</si>
  <si>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</si>
  <si>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</si>
  <si>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</si>
  <si>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</si>
  <si>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</si>
  <si>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</si>
  <si>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</si>
  <si>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</si>
  <si>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</si>
  <si>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</si>
  <si>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</si>
  <si>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</si>
  <si>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</si>
  <si>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</si>
  <si>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</si>
  <si>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</si>
  <si>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</si>
  <si>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</si>
  <si>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</si>
  <si>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</si>
  <si>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</si>
  <si>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</si>
  <si>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</si>
  <si>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</si>
  <si>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</si>
  <si>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</si>
  <si>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</si>
  <si>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</si>
  <si>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</si>
  <si>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</si>
  <si>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</si>
  <si>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</si>
  <si>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</si>
  <si>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</si>
  <si>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</si>
  <si>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</si>
  <si>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</si>
  <si>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</si>
  <si>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</si>
  <si>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</si>
  <si>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</si>
  <si>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</si>
  <si>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</si>
  <si>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</si>
  <si>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</si>
  <si>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</si>
  <si>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</si>
  <si>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</si>
  <si>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</si>
  <si>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</si>
  <si>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</si>
  <si>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</si>
  <si>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</si>
  <si>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</si>
  <si>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</si>
  <si>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</si>
  <si>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</si>
  <si>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</si>
  <si>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</si>
  <si>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</si>
  <si>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</si>
  <si>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</si>
  <si>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</si>
  <si>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</si>
  <si>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</si>
  <si>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</si>
  <si>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</si>
  <si>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</si>
  <si>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</si>
  <si>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</si>
  <si>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</si>
  <si>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</si>
  <si>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</si>
  <si>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</si>
  <si>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</si>
  <si>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</si>
  <si>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</si>
  <si>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</si>
  <si>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</si>
  <si>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</si>
  <si>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</si>
  <si>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</si>
  <si>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</si>
  <si>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</si>
  <si>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</si>
  <si>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</si>
  <si>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</si>
  <si>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</si>
  <si>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</si>
  <si>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</si>
  <si>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</si>
  <si>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</si>
  <si>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</si>
  <si>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</si>
  <si>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</si>
  <si>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</si>
  <si>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</si>
  <si>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</si>
  <si>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</si>
  <si>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</si>
  <si>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</si>
  <si>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</si>
  <si>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</si>
  <si>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</si>
  <si>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</si>
  <si>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</si>
  <si>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</si>
  <si>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</si>
  <si>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</si>
  <si>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</si>
  <si>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</si>
  <si>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</si>
  <si>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</si>
  <si>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</si>
  <si>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</si>
  <si>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</si>
  <si>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</si>
  <si>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</si>
  <si>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</si>
  <si>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</si>
  <si>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</si>
  <si>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</si>
  <si>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</si>
  <si>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</si>
  <si>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</si>
  <si>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</si>
  <si>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</si>
  <si>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</si>
  <si>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</si>
  <si>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</si>
  <si>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</si>
  <si>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</si>
  <si>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</si>
  <si>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</si>
  <si>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</si>
  <si>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</si>
  <si>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</si>
  <si>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</si>
  <si>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</si>
  <si>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</si>
  <si>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</si>
  <si>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</si>
  <si>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</si>
  <si>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</si>
  <si>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</si>
  <si>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</si>
  <si>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</si>
  <si>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</si>
  <si>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</si>
  <si>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</si>
  <si>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</si>
  <si>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</si>
  <si>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</si>
  <si>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</si>
  <si>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</si>
  <si>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</si>
  <si>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</si>
  <si>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</si>
  <si>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</si>
  <si>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</si>
  <si>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</si>
  <si>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</si>
  <si>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</si>
  <si>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</si>
  <si>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</si>
  <si>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(30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</si>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</sst>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;&quot;(£&quot;#,##0\);\-"/>
    <numFmt numFmtId="166" formatCode="\£#,##0.00;&quot;(£&quot;#,##0.00\);\-"/>
    <numFmt numFmtId="167" formatCode="0.0%"/>
    <numFmt numFmtId="168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95.77</v>
      </c>
      <c r="G7" s="12" t="n">
        <f aca="false">D7+D13-F7</f>
        <v>1240.23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575</v>
      </c>
      <c r="E9" s="11" t="n">
        <f aca="false">IF(C9=0,0,D9/C9)</f>
        <v>71.875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575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735</v>
      </c>
      <c r="E10" s="11" t="n">
        <f aca="false">IF(C10=0,0,D10/C10)</f>
        <v>105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735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728</v>
      </c>
      <c r="E11" s="11" t="n">
        <f aca="false">IF(C11=0,0,D11/C11)</f>
        <v>91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728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1245</v>
      </c>
      <c r="E12" s="11" t="n">
        <f aca="false">IF(C12=0,0,D12/C12)</f>
        <v>124.5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1245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9639.02</v>
      </c>
      <c r="E15" s="16" t="n">
        <f aca="false">IF(C15=0,0,D15/C15)</f>
        <v>105.923296703297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3812.02</v>
      </c>
      <c r="C21" s="18" t="n">
        <f aca="false">SUMIFS(Tracker!$E$5:$E$1000,Tracker!$C$5:$C$1000,A21)</f>
        <v>1397.02</v>
      </c>
      <c r="D21" s="18" t="n">
        <f aca="false">B21-C21</f>
        <v>2415</v>
      </c>
      <c r="E21" s="19" t="n">
        <f aca="false">IF($B$3=0,0,B21/$B$3)</f>
        <v>0.381202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3372</v>
      </c>
      <c r="C22" s="18" t="n">
        <f aca="false">SUMIFS(Tracker!$E$5:$E$1000,Tracker!$C$5:$C$1000,A22)</f>
        <v>47.52</v>
      </c>
      <c r="D22" s="18" t="n">
        <f aca="false">B22-C22</f>
        <v>3324.48</v>
      </c>
      <c r="E22" s="19" t="n">
        <f aca="false">IF($B$3=0,0,B22/$B$3)</f>
        <v>0.3372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32.1</v>
      </c>
      <c r="D23" s="18" t="n">
        <f aca="false">B23-C23</f>
        <v>937.9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-1803.5</v>
      </c>
      <c r="C27" s="22" t="n">
        <f aca="false">SUMIFS(Tracker!$E$5:$E$1000,Tracker!$C$5:$C$1000,"Other")</f>
        <v>0</v>
      </c>
      <c r="D27" s="22" t="n">
        <f aca="false">B27-C27</f>
        <v>-1803.5</v>
      </c>
      <c r="E27" s="23" t="n">
        <f aca="false">IF($B$3=0,0,B27/$B$3)</f>
        <v>-0.18035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2793.52</v>
      </c>
      <c r="D28" s="24" t="n">
        <f aca="false">SUM(D20:D27)</f>
        <v>7206.48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£1,804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2793.52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7206.48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2793.52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5240.75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3769.23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G13+H13+I13+J13+O13</f>
        <v>370</v>
      </c>
      <c r="L13" s="12" t="n">
        <f aca="false">IF(D13=0,0,K13/D13)</f>
        <v>74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25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G14+H14+I14+J14+O14</f>
        <v>460</v>
      </c>
      <c r="L14" s="12" t="n">
        <f aca="false">IF(D14=0,0,K14/D14)</f>
        <v>115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20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20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4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100</v>
      </c>
      <c r="J17" s="12" t="n">
        <f aca="false">D17*F17</f>
        <v>160</v>
      </c>
      <c r="K17" s="12" t="n">
        <f aca="false">G17+H17+I17+J17+O17</f>
        <v>420</v>
      </c>
      <c r="L17" s="12" t="n">
        <f aca="false">IF(D17=0,0,K17/D17)</f>
        <v>105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20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G18+H18+I18+J18+O18</f>
        <v>920</v>
      </c>
      <c r="L18" s="12" t="n">
        <f aca="false">IF(D18=0,0,K18/D18)</f>
        <v>153.333333333333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30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3812.02</v>
      </c>
      <c r="J25" s="16" t="n">
        <f aca="false">SUM(J5:J24)</f>
        <v>3372</v>
      </c>
      <c r="K25" s="16" t="n">
        <f aca="false">SUM(K5:K24)</f>
        <v>9639.02</v>
      </c>
      <c r="L25" s="16" t="n">
        <f aca="false">IF(D25=0,0,K25/D25)</f>
        <v>105.923296703297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155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155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4</v>
      </c>
      <c r="E17" s="36" t="n">
        <f aca="false">C17+D17</f>
        <v>46360</v>
      </c>
      <c r="F17" s="37"/>
      <c r="G17" s="38" t="s">
        <v>155</v>
      </c>
      <c r="H17" s="39" t="n">
        <v>25</v>
      </c>
      <c r="I17" s="40" t="n">
        <f aca="false">D17*H17</f>
        <v>100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3812.02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2415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2793.52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2793.52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7206.48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 t="s">
        <v>339</v>
      </c>
      <c r="B30" s="51" t="s">
        <v>11</v>
      </c>
      <c r="C30" s="51" t="s">
        <v>35</v>
      </c>
      <c r="D30" s="51" t="s">
        <v>340</v>
      </c>
      <c r="E30" s="52" t="n">
        <v>4.26</v>
      </c>
      <c r="F30" s="51" t="s">
        <v>42</v>
      </c>
      <c r="J30" s="1" t="s">
        <v>341</v>
      </c>
    </row>
    <row r="31" customFormat="false" ht="15" hidden="false" customHeight="true" outlineLevel="0" collapsed="false">
      <c r="A31" s="51" t="s">
        <v>342</v>
      </c>
      <c r="B31" s="51" t="s">
        <v>13</v>
      </c>
      <c r="C31" s="51" t="s">
        <v>36</v>
      </c>
      <c r="D31" s="51" t="s">
        <v>343</v>
      </c>
      <c r="E31" s="52" t="n">
        <v>23.25</v>
      </c>
      <c r="F31" s="51" t="s">
        <v>42</v>
      </c>
      <c r="J31" s="1" t="s">
        <v>344</v>
      </c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2026-10-20T23:50:19Z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