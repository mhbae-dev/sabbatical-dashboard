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<sst xmlns="http://schemas.openxmlformats.org/spreadsheetml/2006/main" count="549" uniqueCount="334">
  <si>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</si>
  <si>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</si>
  <si>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</si>
  <si>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</si>
  <si>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</si>
  <si>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</si>
  <si>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</si>
  <si>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</si>
  <si>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</si>
  <si>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</si>
  <si>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</si>
  <si>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</si>
  <si>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</si>
  <si>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</si>
  <si>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</si>
  <si>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</si>
  <si>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19 Nov</t>
  </si>
  <si>
    <t xml:space="preserve">Taiwan</t>
  </si>
  <si>
    <t xml:space="preserve">19 – 26 Nov</t>
  </si>
  <si>
    <t xml:space="preserve">Malaysia &amp; Singapore</t>
  </si>
  <si>
    <t xml:space="preserve">26 Nov – 4 Dec</t>
  </si>
  <si>
    <t xml:space="preserve">Thailand</t>
  </si>
  <si>
    <t xml:space="preserve">4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</si>
  <si>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</si>
  <si>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</si>
  <si>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</si>
  <si>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</si>
  <si>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</si>
  <si>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</si>
  <si>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</si>
  <si>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</si>
  <si>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</si>
  <si>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</si>
  <si>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</si>
  <si>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</si>
  <si>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</si>
  <si>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</si>
  <si>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</si>
  <si>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</si>
  <si>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</si>
  <si>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</si>
  <si>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</si>
  <si>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</si>
  <si>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</si>
  <si>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</si>
  <si>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</si>
  <si>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</si>
  <si>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</si>
  <si>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</si>
  <si>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</si>
  <si>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</si>
  <si>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</si>
  <si>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</si>
  <si>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</si>
  <si>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</si>
  <si>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</si>
  <si>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</si>
  <si>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</si>
  <si>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</si>
  <si>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</si>
  <si>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</si>
  <si>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</si>
  <si>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</si>
  <si>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</si>
  <si>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</si>
  <si>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</si>
  <si>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</si>
  <si>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</si>
  <si>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</si>
  <si>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</si>
  <si>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</si>
  <si>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</si>
  <si>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</si>
  <si>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</si>
  <si>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</si>
  <si>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</si>
  <si>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</si>
  <si>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</si>
  <si>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</si>
  <si>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</si>
  <si>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</si>
  <si>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</si>
  <si>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</si>
  <si>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</si>
  <si>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</si>
  <si>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</si>
  <si>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</si>
  <si>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</si>
  <si>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</si>
  <si>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19 Nov</t>
  </si>
  <si>
    <t xml:space="preserve">Food incl. £45 tasting-menu treat. Optional Ha Long Bay day trip (~£50). ~45 min to airport</t>
  </si>
  <si>
    <t xml:space="preserve">Taipei</t>
  </si>
  <si>
    <t xml:space="preserve">19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</si>
  <si>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</si>
  <si>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</si>
  <si>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</si>
  <si>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</si>
  <si>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</si>
  <si>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29 Nov</t>
  </si>
  <si>
    <t xml:space="preserve">See friend 27 Nov</t>
  </si>
  <si>
    <t xml:space="preserve">Johor + Singapore day trips</t>
  </si>
  <si>
    <t xml:space="preserve">29 Nov – 4 Dec</t>
  </si>
  <si>
    <t xml:space="preserve">Food incl. £90 Singapore treat. SG Arrival Card each crossing</t>
  </si>
  <si>
    <t xml:space="preserve">Beach resort – Andaman coast</t>
  </si>
  <si>
    <t xml:space="preserve">4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</si>
  <si>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</si>
  <si>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</si>
  <si>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</si>
  <si>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</si>
  <si>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</si>
  <si>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</si>
  <si>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</si>
  <si>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</si>
  <si>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</si>
  <si>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</si>
  <si>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</si>
  <si>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</si>
  <si>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</si>
  <si>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</si>
  <si>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</si>
  <si>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</si>
  <si>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</si>
  <si>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</si>
  <si>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</si>
  <si>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</si>
  <si>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</si>
  <si>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</si>
  <si>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</si>
  <si>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</si>
  <si>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</si>
  <si>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</si>
  <si>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</si>
  <si>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</si>
  <si>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</si>
  <si>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</si>
  <si>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</si>
  <si>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</si>
  <si>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</si>
  <si>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</si>
  <si>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</si>
  <si>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</si>
  <si>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</si>
  <si>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</si>
  <si>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</si>
  <si>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</si>
  <si>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</si>
  <si>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</si>
  <si>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</si>
  <si>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</si>
  <si>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</si>
  <si>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</si>
  <si>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</si>
  <si>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</si>
  <si>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</si>
  <si>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</si>
  <si>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</si>
  <si>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</si>
  <si>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</si>
  <si>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</si>
  <si>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</si>
  <si>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</si>
  <si>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</si>
  <si>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</si>
  <si>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</si>
  <si>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</si>
  <si>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</si>
  <si>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</si>
  <si>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</si>
  <si>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</si>
  <si>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</si>
  <si>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</si>
  <si>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</si>
  <si>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</si>
  <si>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</si>
  <si>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</si>
  <si>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</si>
  <si>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</si>
  <si>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</si>
  <si>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</si>
  <si>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</si>
  <si>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</si>
  <si>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</si>
  <si>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</si>
  <si>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</si>
  <si>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</si>
  <si>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</si>
  <si>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</si>
  <si>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</si>
  <si>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</si>
  <si>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</si>
  <si>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</si>
  <si>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</si>
  <si>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</si>
  <si>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</si>
  <si>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</si>
  <si>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</si>
  <si>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</si>
  <si>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</si>
  <si>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</si>
  <si>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</si>
  <si>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</si>
  <si>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</si>
  <si>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</si>
  <si>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</si>
  <si>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</si>
  <si>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</si>
  <si>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</si>
  <si>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</si>
  <si>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</si>
  <si>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</si>
  <si>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</si>
  <si>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</si>
  <si>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</si>
  <si>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</si>
  <si>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</si>
  <si>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</si>
  <si>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</si>
  <si>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</si>
  <si>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</si>
  <si>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</si>
  <si>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</si>
  <si>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</si>
  <si>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</si>
  <si>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</si>
  <si>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</si>
  <si>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</si>
  <si>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</si>
  <si>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</si>
  <si>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</si>
  <si>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</si>
  <si>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</si>
  <si>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</si>
  <si>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</si>
  <si>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</si>
  <si>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</si>
  <si>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</si>
  <si>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</si>
  <si>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</si>
  <si>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</si>
  <si>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</si>
  <si>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</si>
  <si>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</si>
  <si>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</si>
  <si>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</si>
  <si>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</si>
  <si>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</si>
  <si>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</si>
  <si>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</si>
  <si>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</si>
  <si>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</si>
  <si>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</si>
  <si>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</si>
  <si>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</si>
  <si>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</si>
  <si>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</si>
  <si>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</si>
  <si>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</si>
  <si>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</si>
  <si>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</si>
  <si>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</si>
  <si>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</si>
  <si>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</si>
  <si>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</si>
  <si>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(19 Nov)</t>
  </si>
  <si>
    <t xml:space="preserve">Book Kaohsiung → KL (26 Nov)</t>
  </si>
  <si>
    <t xml:space="preserve">Proof of leaving Taiwan</t>
  </si>
  <si>
    <t xml:space="preserve">Confirm Johor friend dates (29 Nov–4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</si>
  <si>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</si>
  <si>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</si>
  <si>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</si>
  <si>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</si>
  <si>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(4–10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</si>
  <si>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</si>
  <si>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</si>
  <si>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</si>
  <si>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</si>
  <si>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</si>
  <si>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</si>
  <si>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</si>
  <si>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</si>
  <si>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</si>
  <si>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19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</si>
  <si>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</si>
  <si>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</si>
  <si>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</si>
  <si>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</si>
  <si>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</si>
  <si>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</si>
  <si>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</si>
  <si>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</si>
  <si>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</si>
  <si>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</si>
  <si>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</si>
  <si>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</si>
  <si>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</si>
  <si>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</si>
  <si>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</si>
  <si>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</si>
  <si>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</si>
  <si>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</si>
  <si>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</si>
  <si>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</si>
  <si>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</si>
  <si>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</si>
  <si>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</si>
  <si>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</si>
  <si>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</si>
  <si>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</si>
  <si>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</si>
  <si>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</si>
  <si>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</si>
  <si>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</si>
  <si>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</si>
  <si>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</si>
  <si>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</si>
  <si>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</si>
  <si>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</si>
  <si>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</si>
  <si>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Coffee</t>
  </si>
  <si>
    <t xml:space="preserve">Dinner</t>
  </si>
  <si>
    <t xml:space="preserve">TMoney</t>
  </si>
  <si>
    <t xml:space="preserve">mvfx8jx3909u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</si>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</sst>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181</v>
      </c>
      <c r="E7" s="11" t="n">
        <f aca="false">IF(C7=0,0,D7/C7)</f>
        <v>60.3333333333333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104.09</v>
      </c>
      <c r="G7" s="12" t="n">
        <f aca="false">D7+D13-F7</f>
        <v>1116.91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2766.02</v>
      </c>
      <c r="E8" s="11" t="n">
        <f aca="false">IF(C8=0,0,D8/C8)</f>
        <v>138.301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1361.02</v>
      </c>
      <c r="G8" s="12" t="n">
        <f aca="false">D8+D14-F8</f>
        <v>3484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8</v>
      </c>
      <c r="D9" s="10" t="n">
        <f aca="false">SUM(Itinerary!K12:K13)</f>
        <v>535</v>
      </c>
      <c r="E9" s="11" t="n">
        <f aca="false">IF(C9=0,0,D9/C9)</f>
        <v>66.875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535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7</v>
      </c>
      <c r="D10" s="10" t="n">
        <f aca="false">SUM(Itinerary!K14:K15)</f>
        <v>700</v>
      </c>
      <c r="E10" s="11" t="n">
        <f aca="false">IF(C10=0,0,D10/C10)</f>
        <v>100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700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8</v>
      </c>
      <c r="D11" s="10" t="n">
        <f aca="false">SUM(Itinerary!K16:K17)</f>
        <v>696</v>
      </c>
      <c r="E11" s="11" t="n">
        <f aca="false">IF(C11=0,0,D11/C11)</f>
        <v>87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696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10</v>
      </c>
      <c r="D12" s="10" t="n">
        <f aca="false">SUM(Itinerary!K18:K19)</f>
        <v>1195</v>
      </c>
      <c r="E12" s="11" t="n">
        <f aca="false">IF(C12=0,0,D12/C12)</f>
        <v>119.5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1195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SUM(Itinerary!D20:D20)</f>
        <v>20</v>
      </c>
      <c r="D13" s="10" t="n">
        <f aca="false">SUM(Itinerary!K20:K20)</f>
        <v>1040</v>
      </c>
      <c r="E13" s="11" t="n">
        <f aca="false">IF(C13=0,0,D13/C13)</f>
        <v>52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2079</v>
      </c>
      <c r="E14" s="11" t="n">
        <f aca="false">IF(C14=0,0,D14/C14)</f>
        <v>138.6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9192.02</v>
      </c>
      <c r="E15" s="16" t="n">
        <f aca="false">IF(C15=0,0,D15/C15)</f>
        <v>101.011208791209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3802.02</v>
      </c>
      <c r="C21" s="18" t="n">
        <f aca="false">SUMIFS(Tracker!$E$5:$E$1000,Tracker!$C$5:$C$1000,A21)</f>
        <v>1397.02</v>
      </c>
      <c r="D21" s="18" t="n">
        <f aca="false">B21-C21</f>
        <v>2405</v>
      </c>
      <c r="E21" s="19" t="n">
        <f aca="false">IF($B$3=0,0,B21/$B$3)</f>
        <v>0.380202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3390</v>
      </c>
      <c r="C22" s="18" t="n">
        <f aca="false">SUMIFS(Tracker!$E$5:$E$1000,Tracker!$C$5:$C$1000,A22)</f>
        <v>59.24</v>
      </c>
      <c r="D22" s="18" t="n">
        <f aca="false">B22-C22</f>
        <v>3330.76</v>
      </c>
      <c r="E22" s="19" t="n">
        <f aca="false">IF($B$3=0,0,B22/$B$3)</f>
        <v>0.339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8.85</v>
      </c>
      <c r="D23" s="18" t="n">
        <f aca="false">B23-C23</f>
        <v>961.15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'Admin &amp; checklist'!B9</f>
        <v>457.66</v>
      </c>
      <c r="C25" s="18" t="n">
        <f aca="false">SUMIFS(Tracker!$E$5:$E$1000,Tracker!$C$5:$C$1000,A25)</f>
        <v>346.66</v>
      </c>
      <c r="D25" s="18" t="n">
        <f aca="false">B25-C25</f>
        <v>111</v>
      </c>
      <c r="E25" s="19" t="n">
        <f aca="false">IF($B$3=0,0,B25/$B$3)</f>
        <v>0.045766</v>
      </c>
    </row>
    <row r="26" customFormat="false" ht="15" hidden="false" customHeight="true" outlineLevel="0" collapsed="false">
      <c r="A26" s="20" t="s">
        <v>39</v>
      </c>
      <c r="B26" s="21" t="n">
        <f aca="false">$B$3-SUM(B20:B25)</f>
        <v>-1356.5</v>
      </c>
      <c r="C26" s="22" t="n">
        <f aca="false">SUMIFS(Tracker!$E$5:$E$1000,Tracker!$C$5:$C$1000,"Other")</f>
        <v>0</v>
      </c>
      <c r="D26" s="22" t="n">
        <f aca="false">B26-C26</f>
        <v>-1356.5</v>
      </c>
      <c r="E26" s="23" t="n">
        <f aca="false">IF($B$3=0,0,B26/$B$3)</f>
        <v>-0.13565</v>
      </c>
    </row>
    <row r="27" customFormat="false" ht="15" hidden="false" customHeight="true" outlineLevel="0" collapsed="false">
      <c r="A27" s="15" t="s">
        <v>27</v>
      </c>
      <c r="B27" s="24" t="n">
        <f aca="false">SUM(B20:B26)</f>
        <v>10000</v>
      </c>
      <c r="C27" s="24" t="n">
        <f aca="false">SUM(C20:C26)</f>
        <v>2778.59</v>
      </c>
      <c r="D27" s="24" t="n">
        <f aca="false">SUM(D20:D26)</f>
        <v>7221.41</v>
      </c>
      <c r="E27" s="25" t="n">
        <f aca="false">SUM(E20:E26)</f>
        <v>1</v>
      </c>
    </row>
    <row r="28" customFormat="false" ht="15" hidden="false" customHeight="true" outlineLevel="0" collapsed="false">
      <c r="A28" s="26" t="str">
        <f aca="false">IF(B26&lt;0,"⚠ Plan is over budget by "&amp;TEXT(-B26,"£#,##0"),IF(B26&lt;200,"⚠ Buffer below £200","✓ Plan fits the budget with a buffer"))</f>
        <v>⚠ Plan is over budget by £1,357</v>
      </c>
    </row>
    <row r="30" customFormat="false" ht="15" hidden="false" customHeight="true" outlineLevel="0" collapsed="false">
      <c r="A30" s="6" t="s">
        <v>40</v>
      </c>
    </row>
    <row r="31" customFormat="false" ht="15" hidden="false" customHeight="true" outlineLevel="0" collapsed="false">
      <c r="A31" s="20" t="s">
        <v>41</v>
      </c>
      <c r="B31" s="27" t="n">
        <f aca="false">Tracker!I4</f>
        <v>2778.59</v>
      </c>
    </row>
    <row r="32" customFormat="false" ht="15" hidden="false" customHeight="true" outlineLevel="0" collapsed="false">
      <c r="A32" s="20" t="s">
        <v>42</v>
      </c>
      <c r="B32" s="22" t="n">
        <f aca="false">Tracker!I5</f>
        <v>0</v>
      </c>
    </row>
    <row r="33" customFormat="false" ht="15" hidden="false" customHeight="true" outlineLevel="0" collapsed="false">
      <c r="A33" s="20" t="s">
        <v>43</v>
      </c>
      <c r="B33" s="27" t="n">
        <f aca="false">Tracker!I7</f>
        <v>7221.41</v>
      </c>
    </row>
    <row r="35" customFormat="false" ht="15" hidden="false" customHeight="true" outlineLevel="0" collapsed="false">
      <c r="A35" s="3" t="s">
        <v>44</v>
      </c>
    </row>
    <row r="37" customFormat="false" ht="15" hidden="false" customHeight="true" outlineLevel="0" collapsed="false">
      <c r="A37" s="6" t="s">
        <v>45</v>
      </c>
    </row>
    <row r="38" customFormat="false" ht="15" hidden="false" customHeight="true" outlineLevel="0" collapsed="false">
      <c r="A38" s="20" t="s">
        <v>46</v>
      </c>
      <c r="B38" s="28" t="n">
        <v>8034.27</v>
      </c>
    </row>
    <row r="39" customFormat="false" ht="15" hidden="false" customHeight="true" outlineLevel="0" collapsed="false">
      <c r="A39" s="20" t="s">
        <v>47</v>
      </c>
      <c r="B39" s="27" t="n">
        <f aca="false">Tracker!I4</f>
        <v>2778.59</v>
      </c>
    </row>
    <row r="40" customFormat="false" ht="15" hidden="false" customHeight="true" outlineLevel="0" collapsed="false">
      <c r="A40" s="20" t="s">
        <v>48</v>
      </c>
      <c r="B40" s="27" t="n">
        <f aca="false">B38-B39</f>
        <v>5255.68</v>
      </c>
    </row>
    <row r="41" customFormat="false" ht="15" hidden="false" customHeight="true" outlineLevel="0" collapsed="false">
      <c r="A41" s="20" t="s">
        <v>49</v>
      </c>
      <c r="B41" s="27" t="n">
        <f aca="false">MAX(0,B3-B38)</f>
        <v>1965.73</v>
      </c>
    </row>
    <row r="42" customFormat="false" ht="15" hidden="false" customHeight="true" outlineLevel="0" collapsed="false">
      <c r="A42" s="20" t="s">
        <v>50</v>
      </c>
      <c r="B42" s="27" t="n">
        <f aca="false">MAX(0,SUM(B20:B25)-B38)</f>
        <v>3322.23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</cols>
  <sheetData>
    <row r="1" customFormat="false" ht="17.25" hidden="false" customHeight="true" outlineLevel="0" collapsed="false">
      <c r="A1" s="2" t="s">
        <v>51</v>
      </c>
    </row>
    <row r="2" customFormat="false" ht="15" hidden="false" customHeight="true" outlineLevel="0" collapsed="false">
      <c r="A2" s="3" t="s">
        <v>52</v>
      </c>
    </row>
    <row r="4" customFormat="false" ht="31.5" hidden="false" customHeight="true" outlineLevel="0" collapsed="false">
      <c r="A4" s="7" t="s">
        <v>4</v>
      </c>
      <c r="B4" s="7" t="s">
        <v>53</v>
      </c>
      <c r="C4" s="7" t="s">
        <v>5</v>
      </c>
      <c r="D4" s="7" t="s">
        <v>6</v>
      </c>
      <c r="E4" s="7" t="s">
        <v>54</v>
      </c>
      <c r="F4" s="7" t="s">
        <v>55</v>
      </c>
      <c r="G4" s="7" t="s">
        <v>56</v>
      </c>
      <c r="H4" s="7" t="s">
        <v>57</v>
      </c>
      <c r="I4" s="7" t="s">
        <v>58</v>
      </c>
      <c r="J4" s="7" t="s">
        <v>59</v>
      </c>
      <c r="K4" s="7" t="s">
        <v>60</v>
      </c>
      <c r="L4" s="7" t="s">
        <v>61</v>
      </c>
      <c r="M4" s="7" t="s">
        <v>62</v>
      </c>
      <c r="N4" s="7" t="s">
        <v>63</v>
      </c>
    </row>
    <row r="5" customFormat="false" ht="15" hidden="false" customHeight="true" outlineLevel="0" collapsed="false">
      <c r="A5" s="8" t="s">
        <v>11</v>
      </c>
      <c r="B5" s="8" t="s">
        <v>64</v>
      </c>
      <c r="C5" s="8" t="s">
        <v>65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</f>
        <v>66</v>
      </c>
      <c r="L5" s="12" t="n">
        <f aca="false">IF(D5=0,0,K5/D5)</f>
        <v>66</v>
      </c>
      <c r="M5" s="9" t="str">
        <f aca="false">IF(Hotels!G5="Booked","Yes",IF(Hotels!G5="Staying with friends","N/A – host","No"))</f>
        <v>Yes</v>
      </c>
      <c r="N5" s="31" t="s">
        <v>66</v>
      </c>
    </row>
    <row r="6" customFormat="false" ht="15" hidden="false" customHeight="true" outlineLevel="0" collapsed="false">
      <c r="A6" s="8" t="s">
        <v>11</v>
      </c>
      <c r="B6" s="8" t="s">
        <v>67</v>
      </c>
      <c r="C6" s="8" t="s">
        <v>68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</f>
        <v>115</v>
      </c>
      <c r="L6" s="12" t="n">
        <f aca="false">IF(D6=0,0,K6/D6)</f>
        <v>57.5</v>
      </c>
      <c r="M6" s="9" t="str">
        <f aca="false">IF(Hotels!G6="Booked","Yes",IF(Hotels!G6="Staying with friends","N/A – host","No"))</f>
        <v>N/A – host</v>
      </c>
      <c r="N6" s="31" t="s">
        <v>69</v>
      </c>
    </row>
    <row r="7" customFormat="false" ht="15" hidden="false" customHeight="true" outlineLevel="0" collapsed="false">
      <c r="A7" s="8" t="s">
        <v>13</v>
      </c>
      <c r="B7" s="8" t="s">
        <v>70</v>
      </c>
      <c r="C7" s="8" t="s">
        <v>71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</f>
        <v>475.79</v>
      </c>
      <c r="L7" s="12" t="n">
        <f aca="false">IF(D7=0,0,K7/D7)</f>
        <v>158.596666666667</v>
      </c>
      <c r="M7" s="9" t="str">
        <f aca="false">IF(Hotels!G7="Booked","Yes",IF(Hotels!G7="Staying with friends","N/A – host","No"))</f>
        <v>Yes</v>
      </c>
      <c r="N7" s="31" t="s">
        <v>72</v>
      </c>
    </row>
    <row r="8" customFormat="false" ht="15" hidden="false" customHeight="true" outlineLevel="0" collapsed="false">
      <c r="A8" s="8" t="s">
        <v>13</v>
      </c>
      <c r="B8" s="8" t="s">
        <v>73</v>
      </c>
      <c r="C8" s="8" t="s">
        <v>74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</f>
        <v>413.04</v>
      </c>
      <c r="L8" s="12" t="n">
        <f aca="false">IF(D8=0,0,K8/D8)</f>
        <v>137.68</v>
      </c>
      <c r="M8" s="9" t="str">
        <f aca="false">IF(Hotels!G8="Booked","Yes",IF(Hotels!G8="Staying with friends","N/A – host","No"))</f>
        <v>Yes</v>
      </c>
      <c r="N8" s="31" t="s">
        <v>75</v>
      </c>
    </row>
    <row r="9" customFormat="false" ht="15" hidden="false" customHeight="true" outlineLevel="0" collapsed="false">
      <c r="A9" s="8" t="s">
        <v>13</v>
      </c>
      <c r="B9" s="8" t="s">
        <v>76</v>
      </c>
      <c r="C9" s="8" t="s">
        <v>77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</f>
        <v>663.05</v>
      </c>
      <c r="L9" s="12" t="n">
        <f aca="false">IF(D9=0,0,K9/D9)</f>
        <v>132.61</v>
      </c>
      <c r="M9" s="9" t="str">
        <f aca="false">IF(Hotels!G9="Booked","Yes",IF(Hotels!G9="Staying with friends","N/A – host","No"))</f>
        <v>Yes</v>
      </c>
      <c r="N9" s="31" t="s">
        <v>78</v>
      </c>
    </row>
    <row r="10" customFormat="false" ht="15" hidden="false" customHeight="true" outlineLevel="0" collapsed="false">
      <c r="A10" s="8" t="s">
        <v>13</v>
      </c>
      <c r="B10" s="8" t="s">
        <v>79</v>
      </c>
      <c r="C10" s="8" t="s">
        <v>80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</f>
        <v>425.17</v>
      </c>
      <c r="L10" s="12" t="n">
        <f aca="false">IF(D10=0,0,K10/D10)</f>
        <v>141.723333333333</v>
      </c>
      <c r="M10" s="9" t="str">
        <f aca="false">IF(Hotels!G10="Booked","Yes",IF(Hotels!G10="Staying with friends","N/A – host","No"))</f>
        <v>Yes</v>
      </c>
      <c r="N10" s="31" t="s">
        <v>81</v>
      </c>
    </row>
    <row r="11" customFormat="false" ht="15" hidden="false" customHeight="true" outlineLevel="0" collapsed="false">
      <c r="A11" s="8" t="s">
        <v>13</v>
      </c>
      <c r="B11" s="8" t="s">
        <v>82</v>
      </c>
      <c r="C11" s="8" t="s">
        <v>83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</f>
        <v>788.97</v>
      </c>
      <c r="L11" s="12" t="n">
        <f aca="false">IF(D11=0,0,K11/D11)</f>
        <v>131.495</v>
      </c>
      <c r="M11" s="9" t="str">
        <f aca="false">IF(Hotels!G11="Booked","Yes",IF(Hotels!G11="Staying with friends","N/A – host","No"))</f>
        <v>Yes</v>
      </c>
      <c r="N11" s="31" t="s">
        <v>84</v>
      </c>
    </row>
    <row r="12" customFormat="false" ht="15" hidden="false" customHeight="true" outlineLevel="0" collapsed="false">
      <c r="A12" s="8" t="s">
        <v>15</v>
      </c>
      <c r="B12" s="8" t="s">
        <v>85</v>
      </c>
      <c r="C12" s="8" t="s">
        <v>86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</f>
        <v>190</v>
      </c>
      <c r="L12" s="12" t="n">
        <f aca="false">IF(D12=0,0,K12/D12)</f>
        <v>63.3333333333333</v>
      </c>
      <c r="M12" s="9" t="str">
        <f aca="false">IF(Hotels!G12="Booked","Yes",IF(Hotels!G12="Staying with friends","N/A – host","No"))</f>
        <v>No</v>
      </c>
      <c r="N12" s="31" t="s">
        <v>87</v>
      </c>
    </row>
    <row r="13" customFormat="false" ht="15" hidden="false" customHeight="true" outlineLevel="0" collapsed="false">
      <c r="A13" s="8" t="s">
        <v>15</v>
      </c>
      <c r="B13" s="8" t="s">
        <v>88</v>
      </c>
      <c r="C13" s="8" t="s">
        <v>89</v>
      </c>
      <c r="D13" s="29" t="n">
        <v>5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125</v>
      </c>
      <c r="J13" s="12" t="n">
        <f aca="false">D13*F13</f>
        <v>135</v>
      </c>
      <c r="K13" s="12" t="n">
        <f aca="false">G13+H13+I13+J13</f>
        <v>345</v>
      </c>
      <c r="L13" s="12" t="n">
        <f aca="false">IF(D13=0,0,K13/D13)</f>
        <v>69</v>
      </c>
      <c r="M13" s="9" t="str">
        <f aca="false">IF(Hotels!G13="Booked","Yes",IF(Hotels!G13="Staying with friends","N/A – host","No"))</f>
        <v>No</v>
      </c>
      <c r="N13" s="31" t="s">
        <v>90</v>
      </c>
    </row>
    <row r="14" customFormat="false" ht="15" hidden="false" customHeight="true" outlineLevel="0" collapsed="false">
      <c r="A14" s="8" t="s">
        <v>17</v>
      </c>
      <c r="B14" s="8" t="s">
        <v>91</v>
      </c>
      <c r="C14" s="8" t="s">
        <v>92</v>
      </c>
      <c r="D14" s="29" t="n">
        <v>4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180</v>
      </c>
      <c r="J14" s="12" t="n">
        <f aca="false">D14*F14</f>
        <v>190</v>
      </c>
      <c r="K14" s="12" t="n">
        <f aca="false">G14+H14+I14+J14</f>
        <v>440</v>
      </c>
      <c r="L14" s="12" t="n">
        <f aca="false">IF(D14=0,0,K14/D14)</f>
        <v>110</v>
      </c>
      <c r="M14" s="9" t="str">
        <f aca="false">IF(Hotels!G14="Booked","Yes",IF(Hotels!G14="Staying with friends","N/A – host","No"))</f>
        <v>No</v>
      </c>
      <c r="N14" s="31" t="s">
        <v>93</v>
      </c>
    </row>
    <row r="15" customFormat="false" ht="15" hidden="false" customHeight="true" outlineLevel="0" collapsed="false">
      <c r="A15" s="8" t="s">
        <v>17</v>
      </c>
      <c r="B15" s="8" t="s">
        <v>94</v>
      </c>
      <c r="C15" s="8" t="s">
        <v>95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</f>
        <v>260</v>
      </c>
      <c r="L15" s="12" t="n">
        <f aca="false">IF(D15=0,0,K15/D15)</f>
        <v>86.6666666666667</v>
      </c>
      <c r="M15" s="9" t="str">
        <f aca="false">IF(Hotels!G15="Booked","Yes",IF(Hotels!G15="Staying with friends","N/A – host","No"))</f>
        <v>No</v>
      </c>
      <c r="N15" s="31" t="s">
        <v>96</v>
      </c>
    </row>
    <row r="16" customFormat="false" ht="15" hidden="false" customHeight="true" outlineLevel="0" collapsed="false">
      <c r="A16" s="8" t="s">
        <v>19</v>
      </c>
      <c r="B16" s="8" t="s">
        <v>97</v>
      </c>
      <c r="C16" s="8" t="s">
        <v>98</v>
      </c>
      <c r="D16" s="29" t="n">
        <v>3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105</v>
      </c>
      <c r="J16" s="12" t="n">
        <f aca="false">D16*F16</f>
        <v>66</v>
      </c>
      <c r="K16" s="12" t="n">
        <f aca="false">G16+H16+I16+J16</f>
        <v>231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99</v>
      </c>
    </row>
    <row r="17" customFormat="false" ht="15" hidden="false" customHeight="true" outlineLevel="0" collapsed="false">
      <c r="A17" s="8" t="s">
        <v>19</v>
      </c>
      <c r="B17" s="8" t="s">
        <v>100</v>
      </c>
      <c r="C17" s="8" t="s">
        <v>101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</f>
        <v>465</v>
      </c>
      <c r="L17" s="12" t="n">
        <f aca="false">IF(D17=0,0,K17/D17)</f>
        <v>93</v>
      </c>
      <c r="M17" s="9" t="str">
        <f aca="false">IF(Hotels!G17="Booked","Yes",IF(Hotels!G17="Staying with friends","N/A – host","No"))</f>
        <v>No</v>
      </c>
      <c r="N17" s="31" t="s">
        <v>102</v>
      </c>
    </row>
    <row r="18" customFormat="false" ht="15" hidden="false" customHeight="true" outlineLevel="0" collapsed="false">
      <c r="A18" s="8" t="s">
        <v>21</v>
      </c>
      <c r="B18" s="8" t="s">
        <v>103</v>
      </c>
      <c r="C18" s="8" t="s">
        <v>104</v>
      </c>
      <c r="D18" s="29" t="n">
        <v>6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540</v>
      </c>
      <c r="J18" s="12" t="n">
        <f aca="false">D18*F18</f>
        <v>270</v>
      </c>
      <c r="K18" s="12" t="n">
        <f aca="false">G18+H18+I18+J18</f>
        <v>890</v>
      </c>
      <c r="L18" s="12" t="n">
        <f aca="false">IF(D18=0,0,K18/D18)</f>
        <v>148.333333333333</v>
      </c>
      <c r="M18" s="9" t="str">
        <f aca="false">IF(Hotels!G18="Booked","Yes",IF(Hotels!G18="Staying with friends","N/A – host","No"))</f>
        <v>No</v>
      </c>
      <c r="N18" s="31" t="s">
        <v>105</v>
      </c>
    </row>
    <row r="19" customFormat="false" ht="15" hidden="false" customHeight="true" outlineLevel="0" collapsed="false">
      <c r="A19" s="8" t="s">
        <v>21</v>
      </c>
      <c r="B19" s="8" t="s">
        <v>106</v>
      </c>
      <c r="C19" s="8" t="s">
        <v>107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</f>
        <v>305</v>
      </c>
      <c r="L19" s="12" t="n">
        <f aca="false">IF(D19=0,0,K19/D19)</f>
        <v>76.25</v>
      </c>
      <c r="M19" s="9" t="str">
        <f aca="false">IF(Hotels!G19="Booked","Yes",IF(Hotels!G19="Staying with friends","N/A – host","No"))</f>
        <v>No</v>
      </c>
      <c r="N19" s="31" t="s">
        <v>108</v>
      </c>
    </row>
    <row r="20" customFormat="false" ht="15" hidden="false" customHeight="true" outlineLevel="0" collapsed="false">
      <c r="A20" s="8" t="s">
        <v>11</v>
      </c>
      <c r="B20" s="8" t="s">
        <v>109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</f>
        <v>1040</v>
      </c>
      <c r="L20" s="12" t="n">
        <f aca="false">IF(D20=0,0,K20/D20)</f>
        <v>52</v>
      </c>
      <c r="M20" s="9" t="str">
        <f aca="false">IF(Hotels!G20="Booked","Yes",IF(Hotels!G20="Staying with friends","N/A – host","No"))</f>
        <v>N/A – host</v>
      </c>
      <c r="N20" s="31" t="s">
        <v>110</v>
      </c>
    </row>
    <row r="21" customFormat="false" ht="15" hidden="false" customHeight="true" outlineLevel="0" collapsed="false">
      <c r="A21" s="8" t="s">
        <v>13</v>
      </c>
      <c r="B21" s="8" t="s">
        <v>111</v>
      </c>
      <c r="C21" s="8" t="s">
        <v>112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</f>
        <v>994</v>
      </c>
      <c r="L21" s="12" t="n">
        <f aca="false">IF(D21=0,0,K21/D21)</f>
        <v>124.25</v>
      </c>
      <c r="M21" s="9" t="str">
        <f aca="false">IF(Hotels!G21="Booked","Yes",IF(Hotels!G21="Staying with friends","N/A – host","No"))</f>
        <v>No</v>
      </c>
      <c r="N21" s="31" t="s">
        <v>113</v>
      </c>
    </row>
    <row r="22" customFormat="false" ht="15" hidden="false" customHeight="true" outlineLevel="0" collapsed="false">
      <c r="A22" s="8" t="s">
        <v>13</v>
      </c>
      <c r="B22" s="8" t="s">
        <v>114</v>
      </c>
      <c r="C22" s="8" t="s">
        <v>115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</f>
        <v>350</v>
      </c>
      <c r="L22" s="12" t="n">
        <f aca="false">IF(D22=0,0,K22/D22)</f>
        <v>175</v>
      </c>
      <c r="M22" s="9" t="str">
        <f aca="false">IF(Hotels!G22="Booked","Yes",IF(Hotels!G22="Staying with friends","N/A – host","No"))</f>
        <v>No</v>
      </c>
      <c r="N22" s="31" t="s">
        <v>116</v>
      </c>
    </row>
    <row r="23" customFormat="false" ht="15" hidden="false" customHeight="true" outlineLevel="0" collapsed="false">
      <c r="A23" s="8" t="s">
        <v>13</v>
      </c>
      <c r="B23" s="8" t="s">
        <v>117</v>
      </c>
      <c r="C23" s="8" t="s">
        <v>118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</f>
        <v>339</v>
      </c>
      <c r="L23" s="12" t="n">
        <f aca="false">IF(D23=0,0,K23/D23)</f>
        <v>113</v>
      </c>
      <c r="M23" s="9" t="str">
        <f aca="false">IF(Hotels!G23="Booked","Yes",IF(Hotels!G23="Staying with friends","N/A – host","No"))</f>
        <v>No</v>
      </c>
      <c r="N23" s="31" t="s">
        <v>119</v>
      </c>
    </row>
    <row r="24" customFormat="false" ht="15" hidden="false" customHeight="true" outlineLevel="0" collapsed="false">
      <c r="A24" s="8" t="s">
        <v>13</v>
      </c>
      <c r="B24" s="8" t="s">
        <v>120</v>
      </c>
      <c r="C24" s="8" t="s">
        <v>121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</f>
        <v>396</v>
      </c>
      <c r="L24" s="12" t="n">
        <f aca="false">IF(D24=0,0,K24/D24)</f>
        <v>198</v>
      </c>
      <c r="M24" s="9" t="str">
        <f aca="false">IF(Hotels!G24="Booked","Yes",IF(Hotels!G24="Staying with friends","N/A – host","No"))</f>
        <v>No</v>
      </c>
      <c r="N24" s="31" t="s">
        <v>122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3802.02</v>
      </c>
      <c r="J25" s="16" t="n">
        <f aca="false">SUM(J5:J24)</f>
        <v>3390</v>
      </c>
      <c r="K25" s="16" t="n">
        <f aca="false">SUM(K5:K24)</f>
        <v>9192.02</v>
      </c>
      <c r="L25" s="16" t="n">
        <f aca="false">IF(D25=0,0,K25/D25)</f>
        <v>101.011208791209</v>
      </c>
      <c r="M25" s="15"/>
      <c r="N25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123</v>
      </c>
    </row>
    <row r="2" customFormat="false" ht="15" hidden="false" customHeight="true" outlineLevel="0" collapsed="false">
      <c r="A2" s="32" t="s">
        <v>124</v>
      </c>
    </row>
    <row r="4" customFormat="false" ht="31.5" hidden="false" customHeight="true" outlineLevel="0" collapsed="false">
      <c r="A4" s="33" t="s">
        <v>4</v>
      </c>
      <c r="B4" s="33" t="s">
        <v>53</v>
      </c>
      <c r="C4" s="33" t="s">
        <v>125</v>
      </c>
      <c r="D4" s="33" t="s">
        <v>6</v>
      </c>
      <c r="E4" s="33" t="s">
        <v>126</v>
      </c>
      <c r="F4" s="33" t="s">
        <v>127</v>
      </c>
      <c r="G4" s="33" t="s">
        <v>128</v>
      </c>
      <c r="H4" s="33" t="s">
        <v>129</v>
      </c>
      <c r="I4" s="33" t="s">
        <v>60</v>
      </c>
      <c r="J4" s="33" t="s">
        <v>130</v>
      </c>
      <c r="K4" s="33" t="s">
        <v>131</v>
      </c>
      <c r="L4" s="33" t="s">
        <v>132</v>
      </c>
      <c r="M4" s="33" t="s">
        <v>133</v>
      </c>
      <c r="N4" s="33" t="s">
        <v>63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134</v>
      </c>
      <c r="G5" s="38" t="s">
        <v>135</v>
      </c>
      <c r="H5" s="39" t="n">
        <v>36</v>
      </c>
      <c r="I5" s="40" t="n">
        <f aca="false">D5*H5</f>
        <v>36</v>
      </c>
      <c r="J5" s="38" t="s">
        <v>41</v>
      </c>
      <c r="K5" s="37"/>
      <c r="L5" s="37" t="s">
        <v>136</v>
      </c>
      <c r="M5" s="37" t="s">
        <v>137</v>
      </c>
      <c r="N5" s="41" t="s">
        <v>138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139</v>
      </c>
      <c r="G6" s="38" t="s">
        <v>140</v>
      </c>
      <c r="H6" s="39" t="n">
        <v>0</v>
      </c>
      <c r="I6" s="40" t="n">
        <f aca="false">D6*H6</f>
        <v>0</v>
      </c>
      <c r="J6" s="38" t="s">
        <v>141</v>
      </c>
      <c r="K6" s="37"/>
      <c r="L6" s="37"/>
      <c r="M6" s="37"/>
      <c r="N6" s="41" t="s">
        <v>142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143</v>
      </c>
      <c r="G7" s="38" t="s">
        <v>135</v>
      </c>
      <c r="H7" s="39" t="n">
        <f aca="false">(52.24+239.55)/3</f>
        <v>97.2633333333333</v>
      </c>
      <c r="I7" s="40" t="n">
        <f aca="false">D7*H7</f>
        <v>291.79</v>
      </c>
      <c r="J7" s="38" t="s">
        <v>41</v>
      </c>
      <c r="K7" s="37"/>
      <c r="L7" s="37"/>
      <c r="M7" s="37"/>
      <c r="N7" s="41" t="s">
        <v>144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145</v>
      </c>
      <c r="G8" s="38" t="s">
        <v>135</v>
      </c>
      <c r="H8" s="39" t="n">
        <f aca="false">(137.26+66.78)/3</f>
        <v>68.0133333333333</v>
      </c>
      <c r="I8" s="40" t="n">
        <f aca="false">D8*H8</f>
        <v>204.04</v>
      </c>
      <c r="J8" s="38" t="s">
        <v>41</v>
      </c>
      <c r="K8" s="37"/>
      <c r="L8" s="37"/>
      <c r="M8" s="37"/>
      <c r="N8" s="41" t="s">
        <v>146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147</v>
      </c>
      <c r="G9" s="38" t="s">
        <v>135</v>
      </c>
      <c r="H9" s="39" t="n">
        <f aca="false">338.05/5</f>
        <v>67.61</v>
      </c>
      <c r="I9" s="40" t="n">
        <f aca="false">D9*H9</f>
        <v>338.05</v>
      </c>
      <c r="J9" s="38" t="s">
        <v>41</v>
      </c>
      <c r="K9" s="37"/>
      <c r="L9" s="37"/>
      <c r="M9" s="37"/>
      <c r="N9" s="41" t="s">
        <v>148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149</v>
      </c>
      <c r="G10" s="38" t="s">
        <v>135</v>
      </c>
      <c r="H10" s="39" t="n">
        <f aca="false">226.17/3</f>
        <v>75.39</v>
      </c>
      <c r="I10" s="40" t="n">
        <f aca="false">D10*H10</f>
        <v>226.17</v>
      </c>
      <c r="J10" s="38" t="s">
        <v>41</v>
      </c>
      <c r="K10" s="37"/>
      <c r="L10" s="37"/>
      <c r="M10" s="37"/>
      <c r="N10" s="41" t="s">
        <v>150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151</v>
      </c>
      <c r="G11" s="38" t="s">
        <v>135</v>
      </c>
      <c r="H11" s="39" t="n">
        <f aca="false">300.97/6</f>
        <v>50.1616666666667</v>
      </c>
      <c r="I11" s="40" t="n">
        <f aca="false">D11*H11</f>
        <v>300.97</v>
      </c>
      <c r="J11" s="38" t="s">
        <v>41</v>
      </c>
      <c r="K11" s="37"/>
      <c r="L11" s="37"/>
      <c r="M11" s="37"/>
      <c r="N11" s="41" t="s">
        <v>152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153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154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5</v>
      </c>
      <c r="E13" s="36" t="n">
        <f aca="false">C13+D13</f>
        <v>46345</v>
      </c>
      <c r="F13" s="37"/>
      <c r="G13" s="38" t="s">
        <v>153</v>
      </c>
      <c r="H13" s="39" t="n">
        <v>25</v>
      </c>
      <c r="I13" s="40" t="n">
        <f aca="false">D13*H13</f>
        <v>125</v>
      </c>
      <c r="J13" s="38"/>
      <c r="K13" s="37"/>
      <c r="L13" s="37"/>
      <c r="M13" s="37"/>
      <c r="N13" s="41" t="s">
        <v>155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46345</v>
      </c>
      <c r="D14" s="34" t="n">
        <f aca="false">Itinerary!D14</f>
        <v>4</v>
      </c>
      <c r="E14" s="36" t="n">
        <f aca="false">C14+D14</f>
        <v>46349</v>
      </c>
      <c r="F14" s="37"/>
      <c r="G14" s="38" t="s">
        <v>153</v>
      </c>
      <c r="H14" s="39" t="n">
        <v>45</v>
      </c>
      <c r="I14" s="40" t="n">
        <f aca="false">D14*H14</f>
        <v>180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153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3</v>
      </c>
      <c r="E16" s="36" t="n">
        <f aca="false">C16+D16</f>
        <v>46355</v>
      </c>
      <c r="F16" s="37"/>
      <c r="G16" s="38" t="s">
        <v>153</v>
      </c>
      <c r="H16" s="39" t="n">
        <v>35</v>
      </c>
      <c r="I16" s="40" t="n">
        <f aca="false">D16*H16</f>
        <v>105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46355</v>
      </c>
      <c r="D17" s="34" t="n">
        <f aca="false">Itinerary!D17</f>
        <v>5</v>
      </c>
      <c r="E17" s="36" t="n">
        <f aca="false">C17+D17</f>
        <v>46360</v>
      </c>
      <c r="F17" s="37"/>
      <c r="G17" s="38" t="s">
        <v>153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156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46360</v>
      </c>
      <c r="D18" s="34" t="n">
        <f aca="false">Itinerary!D18</f>
        <v>6</v>
      </c>
      <c r="E18" s="36" t="n">
        <f aca="false">C18+D18</f>
        <v>46366</v>
      </c>
      <c r="F18" s="37"/>
      <c r="G18" s="38" t="s">
        <v>153</v>
      </c>
      <c r="H18" s="39" t="n">
        <v>90</v>
      </c>
      <c r="I18" s="40" t="n">
        <f aca="false">D18*H18</f>
        <v>540</v>
      </c>
      <c r="J18" s="38"/>
      <c r="K18" s="37"/>
      <c r="L18" s="37"/>
      <c r="M18" s="37"/>
      <c r="N18" s="41" t="s">
        <v>157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153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158</v>
      </c>
      <c r="G20" s="38" t="s">
        <v>140</v>
      </c>
      <c r="H20" s="39" t="n">
        <v>0</v>
      </c>
      <c r="I20" s="40" t="n">
        <f aca="false">D20*H20</f>
        <v>0</v>
      </c>
      <c r="J20" s="38" t="s">
        <v>141</v>
      </c>
      <c r="K20" s="37"/>
      <c r="L20" s="37"/>
      <c r="M20" s="37"/>
      <c r="N20" s="41" t="s">
        <v>159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153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157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153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116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153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153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160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3802.02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161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162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163</v>
      </c>
      <c r="C29" s="45" t="n">
        <f aca="false">SUMIF(G5:G24,"To book",I5:I24)+SUMIF(G5:G24,"Shortlisted",I5:I24)</f>
        <v>2405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164</v>
      </c>
    </row>
    <row r="2" customFormat="false" ht="15" hidden="false" customHeight="true" outlineLevel="0" collapsed="false">
      <c r="A2" s="32" t="s">
        <v>165</v>
      </c>
    </row>
    <row r="4" customFormat="false" ht="30" hidden="false" customHeight="true" outlineLevel="0" collapsed="false">
      <c r="A4" s="33" t="s">
        <v>166</v>
      </c>
      <c r="B4" s="33" t="s">
        <v>167</v>
      </c>
      <c r="C4" s="33" t="s">
        <v>168</v>
      </c>
      <c r="D4" s="33" t="s">
        <v>169</v>
      </c>
      <c r="E4" s="33" t="s">
        <v>170</v>
      </c>
      <c r="F4" s="33" t="s">
        <v>171</v>
      </c>
      <c r="G4" s="33" t="s">
        <v>172</v>
      </c>
      <c r="H4" s="33" t="s">
        <v>173</v>
      </c>
      <c r="I4" s="33" t="s">
        <v>174</v>
      </c>
      <c r="J4" s="33" t="s">
        <v>128</v>
      </c>
      <c r="K4" s="33" t="s">
        <v>175</v>
      </c>
      <c r="L4" s="33" t="s">
        <v>176</v>
      </c>
      <c r="M4" s="33" t="s">
        <v>63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177</v>
      </c>
      <c r="D5" s="38" t="s">
        <v>178</v>
      </c>
      <c r="E5" s="38" t="s">
        <v>179</v>
      </c>
      <c r="F5" s="38" t="s">
        <v>180</v>
      </c>
      <c r="G5" s="38"/>
      <c r="H5" s="38" t="s">
        <v>181</v>
      </c>
      <c r="I5" s="47" t="n">
        <v>667.6</v>
      </c>
      <c r="J5" s="38" t="s">
        <v>135</v>
      </c>
      <c r="K5" s="38" t="s">
        <v>182</v>
      </c>
      <c r="L5" s="38"/>
      <c r="M5" s="41" t="s">
        <v>183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178</v>
      </c>
      <c r="D6" s="38" t="s">
        <v>184</v>
      </c>
      <c r="E6" s="38" t="s">
        <v>185</v>
      </c>
      <c r="F6" s="38" t="s">
        <v>186</v>
      </c>
      <c r="G6" s="38" t="s">
        <v>187</v>
      </c>
      <c r="H6" s="38" t="s">
        <v>181</v>
      </c>
      <c r="I6" s="47" t="n">
        <v>0</v>
      </c>
      <c r="J6" s="38" t="s">
        <v>135</v>
      </c>
      <c r="K6" s="38" t="s">
        <v>182</v>
      </c>
      <c r="L6" s="38"/>
      <c r="M6" s="41" t="s">
        <v>188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184</v>
      </c>
      <c r="D7" s="38" t="s">
        <v>189</v>
      </c>
      <c r="E7" s="38" t="s">
        <v>190</v>
      </c>
      <c r="F7" s="38" t="s">
        <v>191</v>
      </c>
      <c r="G7" s="38" t="s">
        <v>192</v>
      </c>
      <c r="H7" s="38" t="s">
        <v>193</v>
      </c>
      <c r="I7" s="47" t="n">
        <v>87.7</v>
      </c>
      <c r="J7" s="38" t="s">
        <v>135</v>
      </c>
      <c r="K7" s="38" t="s">
        <v>182</v>
      </c>
      <c r="L7" s="38"/>
      <c r="M7" s="41" t="s">
        <v>194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195</v>
      </c>
      <c r="D8" s="38" t="s">
        <v>196</v>
      </c>
      <c r="E8" s="38" t="s">
        <v>197</v>
      </c>
      <c r="F8" s="38" t="s">
        <v>198</v>
      </c>
      <c r="G8" s="38" t="s">
        <v>199</v>
      </c>
      <c r="H8" s="38" t="s">
        <v>200</v>
      </c>
      <c r="I8" s="47" t="n">
        <v>211.52</v>
      </c>
      <c r="J8" s="38" t="s">
        <v>135</v>
      </c>
      <c r="K8" s="38" t="s">
        <v>182</v>
      </c>
      <c r="L8" s="38"/>
      <c r="M8" s="41" t="s">
        <v>201</v>
      </c>
    </row>
    <row r="9" customFormat="false" ht="15" hidden="false" customHeight="true" outlineLevel="0" collapsed="false">
      <c r="A9" s="46" t="n">
        <v>5</v>
      </c>
      <c r="B9" s="35" t="n">
        <v>46345</v>
      </c>
      <c r="C9" s="38" t="s">
        <v>202</v>
      </c>
      <c r="D9" s="38" t="s">
        <v>203</v>
      </c>
      <c r="E9" s="38"/>
      <c r="F9" s="38"/>
      <c r="G9" s="38"/>
      <c r="H9" s="38" t="s">
        <v>204</v>
      </c>
      <c r="I9" s="47" t="n">
        <v>130</v>
      </c>
      <c r="J9" s="38" t="s">
        <v>153</v>
      </c>
      <c r="K9" s="38" t="s">
        <v>205</v>
      </c>
      <c r="L9" s="38"/>
      <c r="M9" s="41" t="s">
        <v>206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207</v>
      </c>
      <c r="D10" s="38" t="s">
        <v>208</v>
      </c>
      <c r="E10" s="38"/>
      <c r="F10" s="38"/>
      <c r="G10" s="38"/>
      <c r="H10" s="38" t="s">
        <v>204</v>
      </c>
      <c r="I10" s="47" t="n">
        <v>130</v>
      </c>
      <c r="J10" s="38" t="s">
        <v>153</v>
      </c>
      <c r="K10" s="38" t="s">
        <v>209</v>
      </c>
      <c r="L10" s="38"/>
      <c r="M10" s="41" t="s">
        <v>210</v>
      </c>
    </row>
    <row r="11" customFormat="false" ht="15" hidden="false" customHeight="true" outlineLevel="0" collapsed="false">
      <c r="A11" s="46" t="n">
        <v>7</v>
      </c>
      <c r="B11" s="35" t="n">
        <v>46360</v>
      </c>
      <c r="C11" s="38" t="s">
        <v>211</v>
      </c>
      <c r="D11" s="38" t="s">
        <v>212</v>
      </c>
      <c r="E11" s="38"/>
      <c r="F11" s="38"/>
      <c r="G11" s="38"/>
      <c r="H11" s="38" t="s">
        <v>213</v>
      </c>
      <c r="I11" s="47" t="n">
        <v>80</v>
      </c>
      <c r="J11" s="38" t="s">
        <v>153</v>
      </c>
      <c r="K11" s="38" t="s">
        <v>209</v>
      </c>
      <c r="L11" s="38"/>
      <c r="M11" s="41" t="s">
        <v>214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212</v>
      </c>
      <c r="D12" s="38" t="s">
        <v>215</v>
      </c>
      <c r="E12" s="38"/>
      <c r="F12" s="38"/>
      <c r="G12" s="38"/>
      <c r="H12" s="38" t="s">
        <v>213</v>
      </c>
      <c r="I12" s="47" t="n">
        <v>70</v>
      </c>
      <c r="J12" s="38" t="s">
        <v>153</v>
      </c>
      <c r="K12" s="38" t="s">
        <v>216</v>
      </c>
      <c r="L12" s="38"/>
      <c r="M12" s="41" t="s">
        <v>217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215</v>
      </c>
      <c r="D13" s="38" t="s">
        <v>184</v>
      </c>
      <c r="E13" s="38"/>
      <c r="F13" s="38"/>
      <c r="G13" s="38"/>
      <c r="H13" s="38" t="s">
        <v>213</v>
      </c>
      <c r="I13" s="47" t="n">
        <v>180</v>
      </c>
      <c r="J13" s="38" t="s">
        <v>153</v>
      </c>
      <c r="K13" s="38" t="s">
        <v>209</v>
      </c>
      <c r="L13" s="38"/>
      <c r="M13" s="41" t="s">
        <v>218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184</v>
      </c>
      <c r="D14" s="38" t="s">
        <v>219</v>
      </c>
      <c r="E14" s="38"/>
      <c r="F14" s="38"/>
      <c r="G14" s="38"/>
      <c r="H14" s="38" t="s">
        <v>220</v>
      </c>
      <c r="I14" s="47" t="n">
        <v>150</v>
      </c>
      <c r="J14" s="38" t="s">
        <v>153</v>
      </c>
      <c r="K14" s="38" t="s">
        <v>221</v>
      </c>
      <c r="L14" s="38"/>
      <c r="M14" s="41" t="s">
        <v>222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223</v>
      </c>
      <c r="D15" s="38" t="s">
        <v>178</v>
      </c>
      <c r="E15" s="38" t="s">
        <v>224</v>
      </c>
      <c r="F15" s="38" t="s">
        <v>225</v>
      </c>
      <c r="G15" s="38" t="s">
        <v>226</v>
      </c>
      <c r="H15" s="38" t="s">
        <v>181</v>
      </c>
      <c r="I15" s="47" t="n">
        <v>0</v>
      </c>
      <c r="J15" s="38" t="s">
        <v>135</v>
      </c>
      <c r="K15" s="38" t="s">
        <v>182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178</v>
      </c>
      <c r="D16" s="38" t="s">
        <v>177</v>
      </c>
      <c r="E16" s="38" t="s">
        <v>227</v>
      </c>
      <c r="F16" s="38" t="s">
        <v>228</v>
      </c>
      <c r="G16" s="38" t="s">
        <v>229</v>
      </c>
      <c r="H16" s="38" t="s">
        <v>181</v>
      </c>
      <c r="I16" s="47" t="n">
        <v>0</v>
      </c>
      <c r="J16" s="38" t="s">
        <v>135</v>
      </c>
      <c r="K16" s="38" t="s">
        <v>182</v>
      </c>
      <c r="L16" s="38"/>
      <c r="M16" s="41" t="s">
        <v>230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231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232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233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234</v>
      </c>
    </row>
    <row r="3" customFormat="false" ht="15" hidden="false" customHeight="true" outlineLevel="0" collapsed="false">
      <c r="A3" s="6" t="s">
        <v>235</v>
      </c>
    </row>
    <row r="4" customFormat="false" ht="31.5" hidden="false" customHeight="true" outlineLevel="0" collapsed="false">
      <c r="A4" s="7" t="s">
        <v>236</v>
      </c>
      <c r="B4" s="7" t="s">
        <v>237</v>
      </c>
      <c r="C4" s="7" t="s">
        <v>128</v>
      </c>
      <c r="D4" s="7" t="s">
        <v>63</v>
      </c>
    </row>
    <row r="5" customFormat="false" ht="15" hidden="false" customHeight="true" outlineLevel="0" collapsed="false">
      <c r="A5" s="8" t="s">
        <v>238</v>
      </c>
      <c r="B5" s="28" t="n">
        <v>281.62</v>
      </c>
      <c r="C5" s="29" t="s">
        <v>41</v>
      </c>
      <c r="D5" s="31" t="s">
        <v>239</v>
      </c>
    </row>
    <row r="6" customFormat="false" ht="15" hidden="false" customHeight="true" outlineLevel="0" collapsed="false">
      <c r="A6" s="8" t="s">
        <v>240</v>
      </c>
      <c r="B6" s="28" t="n">
        <v>62.4</v>
      </c>
      <c r="C6" s="29" t="s">
        <v>241</v>
      </c>
      <c r="D6" s="31" t="s">
        <v>242</v>
      </c>
    </row>
    <row r="7" customFormat="false" ht="15" hidden="false" customHeight="true" outlineLevel="0" collapsed="false">
      <c r="A7" s="8" t="s">
        <v>243</v>
      </c>
      <c r="B7" s="28" t="n">
        <v>13.64</v>
      </c>
      <c r="C7" s="29" t="s">
        <v>41</v>
      </c>
      <c r="D7" s="31" t="s">
        <v>244</v>
      </c>
    </row>
    <row r="8" customFormat="false" ht="15" hidden="false" customHeight="true" outlineLevel="0" collapsed="false">
      <c r="A8" s="8" t="s">
        <v>245</v>
      </c>
      <c r="B8" s="28" t="n">
        <v>100</v>
      </c>
      <c r="C8" s="29" t="s">
        <v>241</v>
      </c>
      <c r="D8" s="31" t="s">
        <v>246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247</v>
      </c>
    </row>
    <row r="12" customFormat="false" ht="31.5" hidden="false" customHeight="true" outlineLevel="0" collapsed="false">
      <c r="A12" s="7" t="s">
        <v>248</v>
      </c>
      <c r="B12" s="7" t="s">
        <v>249</v>
      </c>
      <c r="C12" s="7" t="s">
        <v>250</v>
      </c>
      <c r="D12" s="7" t="s">
        <v>63</v>
      </c>
    </row>
    <row r="13" customFormat="false" ht="15" hidden="false" customHeight="true" outlineLevel="0" collapsed="false">
      <c r="A13" s="8" t="s">
        <v>251</v>
      </c>
      <c r="B13" s="8" t="s">
        <v>252</v>
      </c>
      <c r="C13" s="29"/>
      <c r="D13" s="31"/>
    </row>
    <row r="14" customFormat="false" ht="15" hidden="false" customHeight="true" outlineLevel="0" collapsed="false">
      <c r="A14" s="8" t="s">
        <v>253</v>
      </c>
      <c r="B14" s="8" t="s">
        <v>254</v>
      </c>
      <c r="C14" s="29"/>
      <c r="D14" s="31"/>
    </row>
    <row r="15" customFormat="false" ht="15" hidden="false" customHeight="true" outlineLevel="0" collapsed="false">
      <c r="A15" s="8" t="s">
        <v>255</v>
      </c>
      <c r="B15" s="8" t="s">
        <v>256</v>
      </c>
      <c r="C15" s="29"/>
      <c r="D15" s="31" t="s">
        <v>257</v>
      </c>
    </row>
    <row r="16" customFormat="false" ht="15" hidden="false" customHeight="true" outlineLevel="0" collapsed="false">
      <c r="A16" s="8" t="s">
        <v>258</v>
      </c>
      <c r="B16" s="8" t="s">
        <v>221</v>
      </c>
      <c r="C16" s="29"/>
      <c r="D16" s="31" t="s">
        <v>259</v>
      </c>
    </row>
    <row r="17" customFormat="false" ht="15" hidden="false" customHeight="true" outlineLevel="0" collapsed="false">
      <c r="A17" s="8" t="s">
        <v>260</v>
      </c>
      <c r="B17" s="8" t="s">
        <v>209</v>
      </c>
      <c r="C17" s="29"/>
      <c r="D17" s="31" t="s">
        <v>261</v>
      </c>
    </row>
    <row r="18" customFormat="false" ht="15" hidden="false" customHeight="true" outlineLevel="0" collapsed="false">
      <c r="A18" s="8" t="s">
        <v>262</v>
      </c>
      <c r="B18" s="8" t="s">
        <v>221</v>
      </c>
      <c r="C18" s="29"/>
      <c r="D18" s="31"/>
    </row>
    <row r="19" customFormat="false" ht="15" hidden="false" customHeight="true" outlineLevel="0" collapsed="false">
      <c r="A19" s="8" t="s">
        <v>263</v>
      </c>
      <c r="B19" s="8" t="s">
        <v>205</v>
      </c>
      <c r="C19" s="29"/>
      <c r="D19" s="31" t="s">
        <v>206</v>
      </c>
    </row>
    <row r="20" customFormat="false" ht="15" hidden="false" customHeight="true" outlineLevel="0" collapsed="false">
      <c r="A20" s="8" t="s">
        <v>264</v>
      </c>
      <c r="B20" s="8" t="s">
        <v>209</v>
      </c>
      <c r="C20" s="29"/>
      <c r="D20" s="31" t="s">
        <v>265</v>
      </c>
    </row>
    <row r="21" customFormat="false" ht="15" hidden="false" customHeight="true" outlineLevel="0" collapsed="false">
      <c r="A21" s="8" t="s">
        <v>266</v>
      </c>
      <c r="B21" s="8" t="s">
        <v>267</v>
      </c>
      <c r="C21" s="29"/>
      <c r="D21" s="31" t="s">
        <v>268</v>
      </c>
    </row>
    <row r="22" customFormat="false" ht="15" hidden="false" customHeight="true" outlineLevel="0" collapsed="false">
      <c r="A22" s="8" t="s">
        <v>269</v>
      </c>
      <c r="B22" s="8" t="s">
        <v>209</v>
      </c>
      <c r="C22" s="29"/>
      <c r="D22" s="31"/>
    </row>
    <row r="23" customFormat="false" ht="15" hidden="false" customHeight="true" outlineLevel="0" collapsed="false">
      <c r="A23" s="8" t="s">
        <v>270</v>
      </c>
      <c r="B23" s="8" t="s">
        <v>209</v>
      </c>
      <c r="C23" s="29"/>
      <c r="D23" s="31"/>
    </row>
    <row r="24" customFormat="false" ht="15" hidden="false" customHeight="true" outlineLevel="0" collapsed="false">
      <c r="A24" s="8" t="s">
        <v>271</v>
      </c>
      <c r="B24" s="8" t="s">
        <v>216</v>
      </c>
      <c r="C24" s="29"/>
      <c r="D24" s="31" t="s">
        <v>272</v>
      </c>
    </row>
    <row r="25" customFormat="false" ht="15" hidden="false" customHeight="true" outlineLevel="0" collapsed="false">
      <c r="A25" s="8" t="s">
        <v>273</v>
      </c>
      <c r="B25" s="8" t="s">
        <v>216</v>
      </c>
      <c r="C25" s="29"/>
      <c r="D25" s="31" t="s">
        <v>274</v>
      </c>
    </row>
    <row r="26" customFormat="false" ht="15" hidden="false" customHeight="true" outlineLevel="0" collapsed="false">
      <c r="A26" s="8" t="s">
        <v>275</v>
      </c>
      <c r="B26" s="8" t="s">
        <v>276</v>
      </c>
      <c r="C26" s="29"/>
      <c r="D26" s="31"/>
    </row>
    <row r="27" customFormat="false" ht="15" hidden="false" customHeight="true" outlineLevel="0" collapsed="false">
      <c r="A27" s="8" t="s">
        <v>277</v>
      </c>
      <c r="B27" s="8" t="s">
        <v>278</v>
      </c>
      <c r="C27" s="29"/>
      <c r="D27" s="31"/>
    </row>
    <row r="28" customFormat="false" ht="15" hidden="false" customHeight="true" outlineLevel="0" collapsed="false">
      <c r="A28" s="8" t="s">
        <v>279</v>
      </c>
      <c r="B28" s="8" t="s">
        <v>205</v>
      </c>
      <c r="C28" s="29"/>
      <c r="D28" s="31"/>
    </row>
    <row r="29" customFormat="false" ht="15" hidden="false" customHeight="true" outlineLevel="0" collapsed="false">
      <c r="A29" s="8" t="s">
        <v>280</v>
      </c>
      <c r="B29" s="8" t="s">
        <v>281</v>
      </c>
      <c r="C29" s="29"/>
      <c r="D29" s="31"/>
    </row>
    <row r="30" customFormat="false" ht="15" hidden="false" customHeight="true" outlineLevel="0" collapsed="false">
      <c r="A30" s="8" t="s">
        <v>282</v>
      </c>
      <c r="B30" s="8" t="s">
        <v>283</v>
      </c>
      <c r="C30" s="29"/>
      <c r="D30" s="31"/>
    </row>
    <row r="31" customFormat="false" ht="15" hidden="false" customHeight="true" outlineLevel="0" collapsed="false">
      <c r="A31" s="8" t="s">
        <v>284</v>
      </c>
      <c r="B31" s="8" t="s">
        <v>285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4" customFormat="false" ht="31.5" hidden="false" customHeight="true" outlineLevel="0" collapsed="false">
      <c r="A4" s="7" t="s">
        <v>167</v>
      </c>
      <c r="B4" s="7" t="s">
        <v>4</v>
      </c>
      <c r="C4" s="7" t="s">
        <v>30</v>
      </c>
      <c r="D4" s="7" t="s">
        <v>288</v>
      </c>
      <c r="E4" s="7" t="s">
        <v>289</v>
      </c>
      <c r="F4" s="7" t="s">
        <v>128</v>
      </c>
      <c r="H4" s="20" t="s">
        <v>290</v>
      </c>
      <c r="I4" s="50" t="n">
        <f aca="false">SUMIFS(E5:E1000,F5:F1000,"Paid")</f>
        <v>2778.59</v>
      </c>
      <c r="J4" s="7" t="s">
        <v>291</v>
      </c>
    </row>
    <row r="5" customFormat="false" ht="15" hidden="false" customHeight="true" outlineLevel="0" collapsed="false">
      <c r="A5" s="51" t="s">
        <v>292</v>
      </c>
      <c r="B5" s="51" t="s">
        <v>293</v>
      </c>
      <c r="C5" s="51" t="s">
        <v>33</v>
      </c>
      <c r="D5" s="51" t="s">
        <v>294</v>
      </c>
      <c r="E5" s="52" t="n">
        <v>667.6</v>
      </c>
      <c r="F5" s="51" t="s">
        <v>41</v>
      </c>
      <c r="H5" s="20" t="s">
        <v>42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292</v>
      </c>
      <c r="B6" s="51" t="s">
        <v>293</v>
      </c>
      <c r="C6" s="51" t="s">
        <v>38</v>
      </c>
      <c r="D6" s="51" t="s">
        <v>295</v>
      </c>
      <c r="E6" s="52" t="n">
        <v>281.62</v>
      </c>
      <c r="F6" s="51" t="s">
        <v>41</v>
      </c>
      <c r="H6" s="15" t="s">
        <v>296</v>
      </c>
      <c r="I6" s="24" t="n">
        <f aca="false">I4+I5</f>
        <v>2778.59</v>
      </c>
    </row>
    <row r="7" customFormat="false" ht="15" hidden="false" customHeight="true" outlineLevel="0" collapsed="false">
      <c r="A7" s="51" t="s">
        <v>292</v>
      </c>
      <c r="B7" s="51" t="s">
        <v>11</v>
      </c>
      <c r="C7" s="51" t="s">
        <v>34</v>
      </c>
      <c r="D7" s="51" t="s">
        <v>297</v>
      </c>
      <c r="E7" s="52" t="n">
        <v>36</v>
      </c>
      <c r="F7" s="51" t="s">
        <v>41</v>
      </c>
      <c r="H7" s="20" t="s">
        <v>298</v>
      </c>
      <c r="I7" s="27" t="n">
        <f aca="false">Overview!B3-I6</f>
        <v>7221.41</v>
      </c>
    </row>
    <row r="8" customFormat="false" ht="15" hidden="false" customHeight="true" outlineLevel="0" collapsed="false">
      <c r="A8" s="51" t="s">
        <v>299</v>
      </c>
      <c r="B8" s="51" t="s">
        <v>293</v>
      </c>
      <c r="C8" s="51" t="s">
        <v>38</v>
      </c>
      <c r="D8" s="51" t="s">
        <v>300</v>
      </c>
      <c r="E8" s="52" t="n">
        <v>19</v>
      </c>
      <c r="F8" s="51" t="s">
        <v>41</v>
      </c>
    </row>
    <row r="9" customFormat="false" ht="15" hidden="false" customHeight="true" outlineLevel="0" collapsed="false">
      <c r="A9" s="51" t="s">
        <v>301</v>
      </c>
      <c r="B9" s="51" t="s">
        <v>293</v>
      </c>
      <c r="C9" s="51" t="s">
        <v>33</v>
      </c>
      <c r="D9" s="51" t="s">
        <v>302</v>
      </c>
      <c r="E9" s="52" t="n">
        <v>87.7</v>
      </c>
      <c r="F9" s="51" t="s">
        <v>41</v>
      </c>
    </row>
    <row r="10" customFormat="false" ht="15" hidden="false" customHeight="true" outlineLevel="0" collapsed="false">
      <c r="A10" s="51" t="s">
        <v>301</v>
      </c>
      <c r="B10" s="51" t="s">
        <v>13</v>
      </c>
      <c r="C10" s="51" t="s">
        <v>34</v>
      </c>
      <c r="D10" s="51" t="s">
        <v>303</v>
      </c>
      <c r="E10" s="52" t="n">
        <v>239.55</v>
      </c>
      <c r="F10" s="51" t="s">
        <v>41</v>
      </c>
    </row>
    <row r="11" customFormat="false" ht="15" hidden="false" customHeight="true" outlineLevel="0" collapsed="false">
      <c r="A11" s="51" t="s">
        <v>301</v>
      </c>
      <c r="B11" s="51" t="s">
        <v>13</v>
      </c>
      <c r="C11" s="51" t="s">
        <v>34</v>
      </c>
      <c r="D11" s="51" t="s">
        <v>304</v>
      </c>
      <c r="E11" s="52" t="n">
        <v>52.24</v>
      </c>
      <c r="F11" s="51" t="s">
        <v>41</v>
      </c>
    </row>
    <row r="12" customFormat="false" ht="15" hidden="false" customHeight="true" outlineLevel="0" collapsed="false">
      <c r="A12" s="51" t="s">
        <v>305</v>
      </c>
      <c r="B12" s="51" t="s">
        <v>293</v>
      </c>
      <c r="C12" s="51" t="s">
        <v>33</v>
      </c>
      <c r="D12" s="51" t="s">
        <v>306</v>
      </c>
      <c r="E12" s="52" t="n">
        <v>211.52</v>
      </c>
      <c r="F12" s="51" t="s">
        <v>41</v>
      </c>
    </row>
    <row r="13" customFormat="false" ht="15" hidden="false" customHeight="true" outlineLevel="0" collapsed="false">
      <c r="A13" s="51" t="s">
        <v>307</v>
      </c>
      <c r="B13" s="51" t="s">
        <v>13</v>
      </c>
      <c r="C13" s="51" t="s">
        <v>34</v>
      </c>
      <c r="D13" s="51" t="s">
        <v>308</v>
      </c>
      <c r="E13" s="52" t="n">
        <v>137.26</v>
      </c>
      <c r="F13" s="51" t="s">
        <v>41</v>
      </c>
    </row>
    <row r="14" customFormat="false" ht="15" hidden="false" customHeight="true" outlineLevel="0" collapsed="false">
      <c r="A14" s="51" t="s">
        <v>309</v>
      </c>
      <c r="B14" s="51" t="s">
        <v>13</v>
      </c>
      <c r="C14" s="51" t="s">
        <v>34</v>
      </c>
      <c r="D14" s="51" t="s">
        <v>310</v>
      </c>
      <c r="E14" s="52" t="n">
        <v>338.05</v>
      </c>
      <c r="F14" s="51" t="s">
        <v>41</v>
      </c>
    </row>
    <row r="15" customFormat="false" ht="15" hidden="false" customHeight="true" outlineLevel="0" collapsed="false">
      <c r="A15" s="51" t="s">
        <v>311</v>
      </c>
      <c r="B15" s="51" t="s">
        <v>13</v>
      </c>
      <c r="C15" s="51" t="s">
        <v>34</v>
      </c>
      <c r="D15" s="51" t="s">
        <v>312</v>
      </c>
      <c r="E15" s="52" t="n">
        <v>66.78</v>
      </c>
      <c r="F15" s="51" t="s">
        <v>41</v>
      </c>
    </row>
    <row r="16" customFormat="false" ht="15" hidden="false" customHeight="true" outlineLevel="0" collapsed="false">
      <c r="A16" s="51" t="s">
        <v>311</v>
      </c>
      <c r="B16" s="51" t="s">
        <v>13</v>
      </c>
      <c r="C16" s="51" t="s">
        <v>34</v>
      </c>
      <c r="D16" s="51" t="s">
        <v>313</v>
      </c>
      <c r="E16" s="52" t="n">
        <v>300.97</v>
      </c>
      <c r="F16" s="51" t="s">
        <v>41</v>
      </c>
    </row>
    <row r="17" customFormat="false" ht="15" hidden="false" customHeight="true" outlineLevel="0" collapsed="false">
      <c r="A17" s="51" t="s">
        <v>311</v>
      </c>
      <c r="B17" s="51" t="s">
        <v>13</v>
      </c>
      <c r="C17" s="51" t="s">
        <v>34</v>
      </c>
      <c r="D17" s="51" t="s">
        <v>314</v>
      </c>
      <c r="E17" s="52" t="n">
        <v>226.17</v>
      </c>
      <c r="F17" s="51" t="s">
        <v>41</v>
      </c>
    </row>
    <row r="18" customFormat="false" ht="15" hidden="false" customHeight="true" outlineLevel="0" collapsed="false">
      <c r="A18" s="51" t="s">
        <v>315</v>
      </c>
      <c r="B18" s="51" t="s">
        <v>293</v>
      </c>
      <c r="C18" s="51" t="s">
        <v>38</v>
      </c>
      <c r="D18" s="51" t="s">
        <v>243</v>
      </c>
      <c r="E18" s="52" t="n">
        <v>13.64</v>
      </c>
      <c r="F18" s="51" t="s">
        <v>41</v>
      </c>
    </row>
    <row r="19" customFormat="false" ht="15" hidden="false" customHeight="true" outlineLevel="0" collapsed="false">
      <c r="A19" s="51" t="s">
        <v>316</v>
      </c>
      <c r="B19" s="51" t="s">
        <v>293</v>
      </c>
      <c r="C19" s="51" t="s">
        <v>38</v>
      </c>
      <c r="D19" s="51" t="s">
        <v>317</v>
      </c>
      <c r="E19" s="52" t="n">
        <v>32.4</v>
      </c>
      <c r="F19" s="51" t="s">
        <v>41</v>
      </c>
    </row>
    <row r="20" customFormat="false" ht="15" hidden="false" customHeight="true" outlineLevel="0" collapsed="false">
      <c r="A20" s="51" t="s">
        <v>316</v>
      </c>
      <c r="B20" s="51" t="s">
        <v>11</v>
      </c>
      <c r="C20" s="51" t="s">
        <v>35</v>
      </c>
      <c r="D20" s="51" t="s">
        <v>318</v>
      </c>
      <c r="E20" s="52" t="n">
        <v>3.05</v>
      </c>
      <c r="F20" s="51" t="s">
        <v>41</v>
      </c>
    </row>
    <row r="21" customFormat="false" ht="15" hidden="false" customHeight="true" outlineLevel="0" collapsed="false">
      <c r="A21" s="51" t="s">
        <v>316</v>
      </c>
      <c r="B21" s="51" t="s">
        <v>11</v>
      </c>
      <c r="C21" s="51" t="s">
        <v>35</v>
      </c>
      <c r="D21" s="51" t="s">
        <v>319</v>
      </c>
      <c r="E21" s="52" t="n">
        <v>14.91</v>
      </c>
      <c r="F21" s="51" t="s">
        <v>41</v>
      </c>
    </row>
    <row r="22" customFormat="false" ht="15" hidden="false" customHeight="true" outlineLevel="0" collapsed="false">
      <c r="A22" s="51" t="s">
        <v>316</v>
      </c>
      <c r="B22" s="51" t="s">
        <v>11</v>
      </c>
      <c r="C22" s="51" t="s">
        <v>36</v>
      </c>
      <c r="D22" s="51" t="s">
        <v>320</v>
      </c>
      <c r="E22" s="52" t="n">
        <v>2.95</v>
      </c>
      <c r="F22" s="51" t="s">
        <v>41</v>
      </c>
      <c r="J22" s="1" t="s">
        <v>321</v>
      </c>
    </row>
    <row r="23" customFormat="false" ht="15" hidden="false" customHeight="true" outlineLevel="0" collapsed="false">
      <c r="A23" s="51" t="s">
        <v>316</v>
      </c>
      <c r="B23" s="51" t="s">
        <v>11</v>
      </c>
      <c r="C23" s="51" t="s">
        <v>35</v>
      </c>
      <c r="D23" s="51" t="s">
        <v>318</v>
      </c>
      <c r="E23" s="52" t="n">
        <v>3.05</v>
      </c>
      <c r="F23" s="51" t="s">
        <v>41</v>
      </c>
      <c r="J23" s="1" t="s">
        <v>322</v>
      </c>
    </row>
    <row r="24" customFormat="false" ht="15" hidden="false" customHeight="true" outlineLevel="0" collapsed="false">
      <c r="A24" s="51" t="s">
        <v>316</v>
      </c>
      <c r="B24" s="51" t="s">
        <v>11</v>
      </c>
      <c r="C24" s="51" t="s">
        <v>35</v>
      </c>
      <c r="D24" s="51" t="s">
        <v>35</v>
      </c>
      <c r="E24" s="52" t="n">
        <v>14.91</v>
      </c>
      <c r="F24" s="51" t="s">
        <v>41</v>
      </c>
      <c r="J24" s="1" t="s">
        <v>323</v>
      </c>
    </row>
    <row r="25" customFormat="false" ht="15" hidden="false" customHeight="true" outlineLevel="0" collapsed="false">
      <c r="A25" s="51" t="s">
        <v>324</v>
      </c>
      <c r="B25" s="51" t="s">
        <v>11</v>
      </c>
      <c r="C25" s="51" t="s">
        <v>35</v>
      </c>
      <c r="D25" s="51" t="s">
        <v>325</v>
      </c>
      <c r="E25" s="52" t="n">
        <v>3.4</v>
      </c>
      <c r="F25" s="51" t="s">
        <v>41</v>
      </c>
      <c r="J25" s="1" t="s">
        <v>326</v>
      </c>
    </row>
    <row r="26" customFormat="false" ht="15" hidden="false" customHeight="true" outlineLevel="0" collapsed="false">
      <c r="A26" s="51" t="s">
        <v>324</v>
      </c>
      <c r="B26" s="51" t="s">
        <v>11</v>
      </c>
      <c r="C26" s="51" t="s">
        <v>35</v>
      </c>
      <c r="D26" s="51" t="s">
        <v>327</v>
      </c>
      <c r="E26" s="52" t="n">
        <v>2.55</v>
      </c>
      <c r="F26" s="51" t="s">
        <v>41</v>
      </c>
      <c r="J26" s="1" t="s">
        <v>328</v>
      </c>
    </row>
    <row r="27" customFormat="false" ht="15" hidden="false" customHeight="true" outlineLevel="0" collapsed="false">
      <c r="A27" s="51" t="s">
        <v>324</v>
      </c>
      <c r="B27" s="51" t="s">
        <v>11</v>
      </c>
      <c r="C27" s="51" t="s">
        <v>36</v>
      </c>
      <c r="D27" s="51" t="s">
        <v>320</v>
      </c>
      <c r="E27" s="52" t="n">
        <v>5.9</v>
      </c>
      <c r="F27" s="51" t="s">
        <v>41</v>
      </c>
      <c r="J27" s="1" t="s">
        <v>329</v>
      </c>
    </row>
    <row r="28" customFormat="false" ht="15" hidden="false" customHeight="true" outlineLevel="0" collapsed="false">
      <c r="A28" s="51" t="s">
        <v>324</v>
      </c>
      <c r="B28" s="51" t="s">
        <v>11</v>
      </c>
      <c r="C28" s="51" t="s">
        <v>35</v>
      </c>
      <c r="D28" s="51" t="s">
        <v>330</v>
      </c>
      <c r="E28" s="52" t="n">
        <v>8.5</v>
      </c>
      <c r="F28" s="51" t="s">
        <v>41</v>
      </c>
      <c r="J28" s="1" t="s">
        <v>331</v>
      </c>
    </row>
    <row r="29" customFormat="false" ht="15" hidden="false" customHeight="true" outlineLevel="0" collapsed="false">
      <c r="A29" s="51" t="s">
        <v>324</v>
      </c>
      <c r="B29" s="51" t="s">
        <v>11</v>
      </c>
      <c r="C29" s="51" t="s">
        <v>35</v>
      </c>
      <c r="D29" s="51" t="s">
        <v>332</v>
      </c>
      <c r="E29" s="52" t="n">
        <v>8.87</v>
      </c>
      <c r="F29" s="51" t="s">
        <v>41</v>
      </c>
      <c r="J29" s="1" t="s">
        <v>333</v>
      </c>
    </row>
    <row r="30" customFormat="false" ht="15" hidden="false" customHeight="true" outlineLevel="0" collapsed="false">
      <c r="A30" s="51"/>
      <c r="B30" s="51"/>
      <c r="C30" s="51"/>
      <c r="D30" s="51"/>
      <c r="E30" s="52"/>
      <c r="F30" s="51"/>
    </row>
    <row r="31" customFormat="false" ht="15" hidden="false" customHeight="true" outlineLevel="0" collapsed="false">
      <c r="A31" s="51"/>
      <c r="B31" s="51"/>
      <c r="C31" s="51"/>
      <c r="D31" s="51"/>
      <c r="E31" s="52"/>
      <c r="F31" s="51"/>
    </row>
    <row r="32" customFormat="false" ht="15" hidden="false" customHeight="true" outlineLevel="0" collapsed="false">
      <c r="A32" s="51"/>
      <c r="B32" s="51"/>
      <c r="C32" s="51"/>
      <c r="D32" s="51"/>
      <c r="E32" s="52"/>
      <c r="F32" s="51"/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>
      <c r="A999" s="51"/>
      <c r="B999" s="51"/>
      <c r="C999" s="51"/>
      <c r="D999" s="51"/>
      <c r="E999" s="52"/>
      <c r="F999" s="51"/>
    </row>
    <row r="1000" customFormat="false" ht="15" hidden="false" customHeight="true" outlineLevel="0" collapsed="false">
      <c r="A1000" s="51"/>
      <c r="B1000" s="51"/>
      <c r="C1000" s="51"/>
      <c r="D1000" s="51"/>
      <c r="E1000" s="52"/>
      <c r="F1000" s="51"/>
    </row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2026-10-20T06:02:13Z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