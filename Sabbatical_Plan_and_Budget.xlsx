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<sst xmlns="http://schemas.openxmlformats.org/spreadsheetml/2006/main" count="565" uniqueCount="345">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</sst>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;&quot;(£&quot;#,##0\);\-"/>
    <numFmt numFmtId="166" formatCode="\£#,##0.00;&quot;(£&quot;#,##0.00\);\-"/>
    <numFmt numFmtId="167" formatCode="0.0%"/>
    <numFmt numFmtId="168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95.77</v>
      </c>
      <c r="G7" s="12" t="n">
        <f aca="false">D7+D13-F7</f>
        <v>1240.23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47.52</v>
      </c>
      <c r="D22" s="18" t="n">
        <f aca="false">B22-C22</f>
        <v>3339.98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-1774</v>
      </c>
      <c r="C27" s="22" t="n">
        <f aca="false">SUMIFS(Tracker!$E$5:$E$1000,Tracker!$C$5:$C$1000,"Other")</f>
        <v>0</v>
      </c>
      <c r="D27" s="22" t="n">
        <f aca="false">B27-C27</f>
        <v>-1774</v>
      </c>
      <c r="E27" s="23" t="n">
        <f aca="false">IF($B$3=0,0,B27/$B$3)</f>
        <v>-0.1774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2793.52</v>
      </c>
      <c r="D28" s="24" t="n">
        <f aca="false">SUM(D20:D27)</f>
        <v>7206.48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£1,774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2793.52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7206.48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2793.52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5240.75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20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25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20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25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155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155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2793.52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2793.52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7206.48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2026-10-21T00:01:15Z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