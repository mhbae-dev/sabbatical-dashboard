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<sst xmlns="http://schemas.openxmlformats.org/spreadsheetml/2006/main" count="729" uniqueCount="399">
  <si>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</si>
  <si>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</si>
  <si>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</si>
  <si>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</si>
  <si>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</si>
  <si>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</si>
  <si>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</si>
  <si>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</si>
  <si>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</si>
  <si>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</si>
  <si>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</si>
  <si>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</si>
  <si>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</si>
  <si>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</si>
  <si>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</si>
  <si>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</si>
  <si>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18 Nov</t>
  </si>
  <si>
    <t xml:space="preserve">Taiwan</t>
  </si>
  <si>
    <t xml:space="preserve">18 – 26 Nov</t>
  </si>
  <si>
    <t xml:space="preserve">Malaysia &amp; Singapore</t>
  </si>
  <si>
    <t xml:space="preserve">26 Nov – 5 Dec</t>
  </si>
  <si>
    <t xml:space="preserve">Thailand</t>
  </si>
  <si>
    <t xml:space="preserve">5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</si>
  <si>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</si>
  <si>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</si>
  <si>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</si>
  <si>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</si>
  <si>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</si>
  <si>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trains &amp; intercity, activities, shopping &amp; misc).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</si>
  <si>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</si>
  <si>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</si>
  <si>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</si>
  <si>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</si>
  <si>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</si>
  <si>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</si>
  <si>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</si>
  <si>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</si>
  <si>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Trains &amp; intercity</t>
  </si>
  <si>
    <t xml:space="preserve">Activities</t>
  </si>
  <si>
    <t xml:space="preserve">Shopping &amp; misc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</si>
  <si>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</si>
  <si>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</si>
  <si>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</si>
  <si>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</si>
  <si>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</si>
  <si>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</si>
  <si>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</si>
  <si>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</si>
  <si>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</si>
  <si>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</si>
  <si>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</si>
  <si>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</si>
  <si>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</si>
  <si>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</si>
  <si>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</si>
  <si>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</si>
  <si>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</si>
  <si>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</si>
  <si>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</si>
  <si>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</si>
  <si>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</si>
  <si>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</si>
  <si>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</si>
  <si>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</si>
  <si>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</si>
  <si>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</si>
  <si>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Shopping &amp; misc (£)</t>
  </si>
  <si>
    <t xml:space="preserve">Trains &amp; intercity (£)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</si>
  <si>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</si>
  <si>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</si>
  <si>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</si>
  <si>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</si>
  <si>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</si>
  <si>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</si>
  <si>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</si>
  <si>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</si>
  <si>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Oct. Trains: Narita Express to Yokohama (~£23).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</si>
  <si>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</si>
  <si>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</si>
  <si>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</si>
  <si>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</si>
  <si>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</si>
  <si>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Trains: Shizuoka → Nagoya shinkansen (~£26).</t>
  </si>
  <si>
    <t xml:space="preserve">Takayama</t>
  </si>
  <si>
    <t xml:space="preserve">2 – 5 Nov</t>
  </si>
  <si>
    <t xml:space="preserve">Peak autumn colour + Culture Day 3 Nov. Shirakawa-go day trip. Trains: Nagoya → Takayama limited express (~£31).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</si>
  <si>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</si>
  <si>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</si>
  <si>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</si>
  <si>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</si>
  <si>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</si>
  <si>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</si>
  <si>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</si>
  <si>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18 Nov</t>
  </si>
  <si>
    <t xml:space="preserve">Food incl. £45 tasting-menu treat. Optional Ha Long Bay day trip (~£50). ~45 min to airport</t>
  </si>
  <si>
    <t xml:space="preserve">Taipei</t>
  </si>
  <si>
    <t xml:space="preserve">18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</si>
  <si>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</si>
  <si>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</si>
  <si>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</si>
  <si>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Local transport incl. getting to Kaohsiung airport for the 26 Nov flight. Trains: Taipei → Tainan high-speed rail (~£33).</t>
  </si>
  <si>
    <t xml:space="preserve">Kuala Lumpur</t>
  </si>
  <si>
    <t xml:space="preserve">26 – 30 Nov</t>
  </si>
  <si>
    <t xml:space="preserve">See friend 27 Nov</t>
  </si>
  <si>
    <t xml:space="preserve">Johor + Singapore day trips</t>
  </si>
  <si>
    <t xml:space="preserve">30 Nov – 5 Dec</t>
  </si>
  <si>
    <t xml:space="preserve">Food incl. £90 Singapore treat. SG Arrival Card each crossing</t>
  </si>
  <si>
    <t xml:space="preserve">Beach resort – Andaman coast</t>
  </si>
  <si>
    <t xml:space="preserve">5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</si>
  <si>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</si>
  <si>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</si>
  <si>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</si>
  <si>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</si>
  <si>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</si>
  <si>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</si>
  <si>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</si>
  <si>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</si>
  <si>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</si>
  <si>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</si>
  <si>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</si>
  <si>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</si>
  <si>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</si>
  <si>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</si>
  <si>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</si>
  <si>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</si>
  <si>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</si>
  <si>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Flight home 08:30 on 18 Jan. Trains: Hakodate → Tokyo shinkansen (~£118).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</si>
  <si>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</si>
  <si>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</si>
  <si>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</si>
  <si>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</si>
  <si>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</si>
  <si>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</si>
  <si>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</si>
  <si>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</si>
  <si>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</si>
  <si>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</si>
  <si>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</si>
  <si>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</si>
  <si>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</si>
  <si>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</si>
  <si>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</si>
  <si>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</si>
  <si>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</si>
  <si>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</si>
  <si>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</si>
  <si>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</si>
  <si>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</si>
  <si>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</si>
  <si>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</si>
  <si>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</si>
  <si>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</si>
  <si>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</si>
  <si>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</si>
  <si>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</si>
  <si>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</si>
  <si>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</si>
  <si>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</si>
  <si>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</si>
  <si>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</si>
  <si>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</si>
  <si>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</si>
  <si>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</si>
  <si>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</si>
  <si>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</si>
  <si>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</si>
  <si>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</si>
  <si>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</si>
  <si>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</si>
  <si>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</si>
  <si>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</si>
  <si>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</si>
  <si>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</si>
  <si>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</si>
  <si>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</si>
  <si>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</si>
  <si>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</si>
  <si>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</si>
  <si>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</si>
  <si>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</si>
  <si>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</si>
  <si>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</si>
  <si>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</si>
  <si>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</si>
  <si>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</si>
  <si>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</si>
  <si>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</si>
  <si>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</si>
  <si>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</si>
  <si>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</si>
  <si>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</si>
  <si>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</si>
  <si>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</si>
  <si>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</si>
  <si>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</si>
  <si>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</si>
  <si>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</si>
  <si>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</si>
  <si>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</si>
  <si>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</si>
  <si>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</si>
  <si>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</si>
  <si>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</si>
  <si>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</si>
  <si>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</si>
  <si>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</si>
  <si>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</si>
  <si>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</si>
  <si>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</si>
  <si>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</si>
  <si>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</si>
  <si>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</si>
  <si>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</si>
  <si>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</si>
  <si>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</si>
  <si>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</si>
  <si>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</si>
  <si>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</si>
  <si>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</si>
  <si>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</si>
  <si>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</si>
  <si>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</si>
  <si>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</si>
  <si>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</si>
  <si>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</si>
  <si>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</si>
  <si>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</si>
  <si>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</si>
  <si>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</si>
  <si>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</si>
  <si>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</si>
  <si>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</si>
  <si>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</si>
  <si>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</si>
  <si>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</si>
  <si>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</si>
  <si>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</si>
  <si>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</si>
  <si>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</si>
  <si>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</si>
  <si>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</si>
  <si>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</si>
  <si>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</si>
  <si>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</si>
  <si>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</si>
  <si>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</si>
  <si>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</si>
  <si>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</si>
  <si>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</si>
  <si>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</si>
  <si>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</si>
  <si>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</si>
  <si>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</si>
  <si>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</si>
  <si>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</si>
  <si>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</si>
  <si>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</si>
  <si>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</si>
  <si>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</si>
  <si>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</si>
  <si>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</si>
  <si>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</si>
  <si>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</si>
  <si>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</si>
  <si>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</si>
  <si>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</si>
  <si>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</si>
  <si>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(18 Nov)</t>
  </si>
  <si>
    <t xml:space="preserve">Book Kaohsiung → KL (26 Nov)</t>
  </si>
  <si>
    <t xml:space="preserve">Proof of leaving Taiwan</t>
  </si>
  <si>
    <t xml:space="preserve">Confirm Johor friend dates (30 Nov–5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</si>
  <si>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</si>
  <si>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</si>
  <si>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</si>
  <si>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</si>
  <si>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(5–10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</si>
  <si>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</si>
  <si>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</si>
  <si>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</si>
  <si>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</si>
  <si>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</si>
  <si>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</si>
  <si>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</si>
  <si>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</si>
  <si>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</si>
  <si>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18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</si>
  <si>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</si>
  <si>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</si>
  <si>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</si>
  <si>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</si>
  <si>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</si>
  <si>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</si>
  <si>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</si>
  <si>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</si>
  <si>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</si>
  <si>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</si>
  <si>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</si>
  <si>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</si>
  <si>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</si>
  <si>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</si>
  <si>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</si>
  <si>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</si>
  <si>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</si>
  <si>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</si>
  <si>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</si>
  <si>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</si>
  <si>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</si>
  <si>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</si>
  <si>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</si>
  <si>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</si>
  <si>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</si>
  <si>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</si>
  <si>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</si>
  <si>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</si>
  <si>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</si>
  <si>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</si>
  <si>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</si>
  <si>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</si>
  <si>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</si>
  <si>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</si>
  <si>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</si>
  <si>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</si>
  <si>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TMoney</t>
  </si>
  <si>
    <t xml:space="preserve">mvfx8jx3909u</t>
  </si>
  <si>
    <t xml:space="preserve">Coffee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</si>
  <si>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</si>
  <si>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</si>
  <si>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</si>
  <si>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</si>
  <si>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</si>
  <si>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</si>
  <si>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</si>
  <si>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</si>
  <si>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</si>
  <si>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</si>
  <si>
    <t xml:space="preserve">Teddy Beurre House</t>
  </si>
  <si>
    <t xml:space="preserve">mvga02pv4zdc</t>
  </si>
  <si>
    <t xml:space="preserve">Travel Adapter</t>
  </si>
  <si>
    <t xml:space="preserve">mvgm0kk7r7zk</t>
  </si>
  <si>
    <t xml:space="preserve">Coffee &amp; cafés</t>
  </si>
  <si>
    <t xml:space="preserve">mvgm1pq2sx7l</t>
  </si>
  <si>
    <t xml:space="preserve">21/10/2026</t>
  </si>
  <si>
    <t xml:space="preserve">CU</t>
  </si>
  <si>
    <t xml:space="preserve">mvha28vt2umu</t>
  </si>
  <si>
    <t xml:space="preserve">22/10/2026</t>
  </si>
  <si>
    <t xml:space="preserve">Narita Express</t>
  </si>
  <si>
    <t xml:space="preserve">mvhbcrzpy1g5</t>
  </si>
  <si>
    <t xml:space="preserve">Lunch</t>
  </si>
  <si>
    <t xml:space="preserve">mvhn4eivoe6v</t>
  </si>
  <si>
    <t xml:space="preserve">mvhoyq93mkft</t>
  </si>
  <si>
    <t xml:space="preserve">Waffle</t>
  </si>
  <si>
    <t xml:space="preserve">mvhozxevm8t8</t>
  </si>
  <si>
    <t xml:space="preserve">KBBQ</t>
  </si>
  <si>
    <t xml:space="preserve">mvi0daz6hy5w</t>
  </si>
  <si>
    <t xml:space="preserve">Olive Young</t>
  </si>
  <si>
    <t xml:space="preserve">mvi46m3ysf73</t>
  </si>
  <si>
    <t xml:space="preserve">Running Flask</t>
  </si>
  <si>
    <t xml:space="preserve">mvi48fnuf6v2</t>
  </si>
  <si>
    <t xml:space="preserve">mviqqaspbcyd</t>
  </si>
  <si>
    <t xml:space="preserve">Airport Lounge</t>
  </si>
  <si>
    <t xml:space="preserve">mviuu7x13v7m</t>
  </si>
  <si>
    <t xml:space="preserve">Suica card</t>
  </si>
  <si>
    <t xml:space="preserve">mvj80u63qq2m</t>
  </si>
  <si>
    <t xml:space="preserve">Meals</t>
  </si>
  <si>
    <t xml:space="preserve">mvjfm4dvwhv5</t>
  </si>
  <si>
    <t xml:space="preserve">Fruit sando</t>
  </si>
  <si>
    <t xml:space="preserve">mvjgkqsnzjqx</t>
  </si>
  <si>
    <t xml:space="preserve">Family Mart</t>
  </si>
  <si>
    <t xml:space="preserve">mvjgs4ix5h8f</t>
  </si>
  <si>
    <t xml:space="preserve">23/10/2026</t>
  </si>
  <si>
    <t xml:space="preserve">Minato Coffee</t>
  </si>
  <si>
    <t xml:space="preserve">mvk5bhfpd7p3</t>
  </si>
  <si>
    <t xml:space="preserve">Breakfast</t>
  </si>
  <si>
    <t xml:space="preserve">mvkac1o05k6k</t>
  </si>
  <si>
    <t xml:space="preserve">FamilyMart</t>
  </si>
  <si>
    <t xml:space="preserve">mvkad59n1l9o</t>
  </si>
  <si>
    <t xml:space="preserve">BlueBottle</t>
  </si>
  <si>
    <t xml:space="preserve">mvkegcwdgs40</t>
  </si>
  <si>
    <t xml:space="preserve">Cold Medicine</t>
  </si>
  <si>
    <t xml:space="preserve">mvkeguj2z73p</t>
  </si>
  <si>
    <t xml:space="preserve">Cash Withdrawral</t>
  </si>
  <si>
    <t xml:space="preserve">mvkj13sckg46</t>
  </si>
  <si>
    <t xml:space="preserve">Water</t>
  </si>
  <si>
    <t xml:space="preserve">mvkn35eorct4</t>
  </si>
  <si>
    <t xml:space="preserve">Sparking Water</t>
  </si>
  <si>
    <t xml:space="preserve">mvkn4vup9dx4</t>
  </si>
  <si>
    <t xml:space="preserve">Hotel Room Upgrade</t>
  </si>
  <si>
    <t xml:space="preserve">mvkn5xy6zbhd</t>
  </si>
  <si>
    <t xml:space="preserve">FruitSando</t>
  </si>
  <si>
    <t xml:space="preserve">mvl0v5eoak5a</t>
  </si>
  <si>
    <t xml:space="preserve">24/10/2026</t>
  </si>
  <si>
    <t xml:space="preserve">7Eleven</t>
  </si>
  <si>
    <t xml:space="preserve">mvlvo9wf8yrp</t>
  </si>
  <si>
    <t xml:space="preserve">mvlvp23ue9yu</t>
  </si>
  <si>
    <t xml:space="preserve">UniCoffee</t>
  </si>
  <si>
    <t xml:space="preserve">mvm8dbcgf81u</t>
  </si>
  <si>
    <t xml:space="preserve">25/10/2026</t>
  </si>
  <si>
    <t xml:space="preserve">mvobotwjc34i</t>
  </si>
  <si>
    <t xml:space="preserve">mvobrx1nu2md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</si>
</sst>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196</v>
      </c>
      <c r="E7" s="11" t="n">
        <f aca="false">IF(C7=0,0,D7/C7)</f>
        <v>65.3333333333333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174.85</v>
      </c>
      <c r="G7" s="12" t="n">
        <f aca="false">D7+D13-F7</f>
        <v>1161.15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2866.02</v>
      </c>
      <c r="E8" s="11" t="n">
        <f aca="false">IF(C8=0,0,D8/C8)</f>
        <v>143.301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1569.47</v>
      </c>
      <c r="G8" s="12" t="n">
        <f aca="false">D8+D14-F8</f>
        <v>3450.55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7</v>
      </c>
      <c r="D9" s="10" t="n">
        <f aca="false">SUM(Itinerary!K12:K13)</f>
        <v>518</v>
      </c>
      <c r="E9" s="11" t="n">
        <f aca="false">IF(C9=0,0,D9/C9)</f>
        <v>74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518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8</v>
      </c>
      <c r="D10" s="10" t="n">
        <f aca="false">SUM(Itinerary!K14:K15)</f>
        <v>832.5</v>
      </c>
      <c r="E10" s="11" t="n">
        <f aca="false">IF(C10=0,0,D10/C10)</f>
        <v>104.0625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832.5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9</v>
      </c>
      <c r="D11" s="10" t="n">
        <f aca="false">SUM(Itinerary!K16:K17)</f>
        <v>798</v>
      </c>
      <c r="E11" s="11" t="n">
        <f aca="false">IF(C11=0,0,D11/C11)</f>
        <v>88.6666666666667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798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9</v>
      </c>
      <c r="D12" s="10" t="n">
        <f aca="false">SUM(Itinerary!K18:K19)</f>
        <v>1105</v>
      </c>
      <c r="E12" s="11" t="n">
        <f aca="false">IF(C12=0,0,D12/C12)</f>
        <v>122.777777777778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1105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SUM(Itinerary!D20)</f>
        <v>20</v>
      </c>
      <c r="D13" s="10" t="n">
        <f aca="false">SUM(Itinerary!K20)</f>
        <v>1140</v>
      </c>
      <c r="E13" s="11" t="n">
        <f aca="false">IF(C13=0,0,D13/C13)</f>
        <v>57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2154</v>
      </c>
      <c r="E14" s="11" t="n">
        <f aca="false">IF(C14=0,0,D14/C14)</f>
        <v>143.6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9609.52</v>
      </c>
      <c r="E15" s="16" t="n">
        <f aca="false">IF(C15=0,0,D15/C15)</f>
        <v>105.599120879121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3767.02</v>
      </c>
      <c r="C21" s="18" t="n">
        <f aca="false">SUMIFS(Tracker!$E$5:$E$1000,Tracker!$C$5:$C$1000,A21)</f>
        <v>1411.36</v>
      </c>
      <c r="D21" s="18" t="n">
        <f aca="false">B21-C21</f>
        <v>2355.66</v>
      </c>
      <c r="E21" s="19" t="n">
        <f aca="false">IF($B$3=0,0,B21/$B$3)</f>
        <v>0.376702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3387.5</v>
      </c>
      <c r="C22" s="18" t="n">
        <f aca="false">SUMIFS(Tracker!$E$5:$E$1000,Tracker!$C$5:$C$1000,A22)</f>
        <v>224.56</v>
      </c>
      <c r="D22" s="18" t="n">
        <f aca="false">B22-C22</f>
        <v>3162.94</v>
      </c>
      <c r="E22" s="19" t="n">
        <f aca="false">IF($B$3=0,0,B22/$B$3)</f>
        <v>0.33875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739</v>
      </c>
      <c r="C23" s="18" t="n">
        <f aca="false">SUMIFS(Tracker!$E$5:$E$1000,Tracker!$C$5:$C$1000,A23)</f>
        <v>16.55</v>
      </c>
      <c r="D23" s="18" t="n">
        <f aca="false">B23-C23</f>
        <v>722.45</v>
      </c>
      <c r="E23" s="19" t="n">
        <f aca="false">IF($B$3=0,0,B23/$B$3)</f>
        <v>0.0739</v>
      </c>
    </row>
    <row r="24" customFormat="false" ht="15" hidden="false" customHeight="true" outlineLevel="0" collapsed="false">
      <c r="A24" s="8" t="s">
        <v>37</v>
      </c>
      <c r="B24" s="17" t="n">
        <f aca="false">Itinerary!P25</f>
        <v>231</v>
      </c>
      <c r="C24" s="18" t="n">
        <f aca="false">SUMIFS(Tracker!$E$5:$E$1000,Tracker!$C$5:$C$1000,A24)</f>
        <v>23.25</v>
      </c>
      <c r="D24" s="18" t="n">
        <f aca="false">B24-C24</f>
        <v>207.75</v>
      </c>
      <c r="E24" s="19" t="n">
        <f aca="false">IF($B$3=0,0,B24/$B$3)</f>
        <v>0.0231</v>
      </c>
    </row>
    <row r="25" customFormat="false" ht="15" hidden="false" customHeight="true" outlineLevel="0" collapsed="false">
      <c r="A25" s="8" t="s">
        <v>38</v>
      </c>
      <c r="B25" s="17" t="n">
        <f aca="false">Itinerary!H25</f>
        <v>1030</v>
      </c>
      <c r="C25" s="18" t="n">
        <f aca="false">SUMIFS(Tracker!$E$5:$E$1000,Tracker!$C$5:$C$1000,A25)</f>
        <v>13.57</v>
      </c>
      <c r="D25" s="18" t="n">
        <f aca="false">B25-C25</f>
        <v>1016.43</v>
      </c>
      <c r="E25" s="19" t="n">
        <f aca="false">IF($B$3=0,0,B25/$B$3)</f>
        <v>0.103</v>
      </c>
    </row>
    <row r="26" customFormat="false" ht="15" hidden="false" customHeight="true" outlineLevel="0" collapsed="false">
      <c r="A26" s="8" t="s">
        <v>39</v>
      </c>
      <c r="B26" s="17" t="n">
        <f aca="false">Itinerary!O25</f>
        <v>455</v>
      </c>
      <c r="C26" s="18" t="n">
        <f aca="false">SUMIFS(Tracker!$E$5:$E$1000,Tracker!$C$5:$C$1000,A26)</f>
        <v>55.03</v>
      </c>
      <c r="D26" s="18" t="n">
        <f aca="false">B26-C26</f>
        <v>399.97</v>
      </c>
      <c r="E26" s="19" t="n">
        <f aca="false">IF($B$3=0,0,B26/$B$3)</f>
        <v>0.0455</v>
      </c>
    </row>
    <row r="27" customFormat="false" ht="15" hidden="false" customHeight="true" outlineLevel="0" collapsed="false">
      <c r="A27" s="8" t="s">
        <v>40</v>
      </c>
      <c r="B27" s="17" t="n">
        <f aca="false">'Admin &amp; checklist'!B9</f>
        <v>457.66</v>
      </c>
      <c r="C27" s="18" t="n">
        <f aca="false">SUMIFS(Tracker!$E$5:$E$1000,Tracker!$C$5:$C$1000,A27)</f>
        <v>346.66</v>
      </c>
      <c r="D27" s="18" t="n">
        <f aca="false">B27-C27</f>
        <v>111</v>
      </c>
      <c r="E27" s="19" t="n">
        <f aca="false">IF($B$3=0,0,B27/$B$3)</f>
        <v>0.045766</v>
      </c>
    </row>
    <row r="28" customFormat="false" ht="15" hidden="false" customHeight="true" outlineLevel="0" collapsed="false">
      <c r="A28" s="20" t="s">
        <v>41</v>
      </c>
      <c r="B28" s="21" t="n">
        <f aca="false">$B$3-SUM(B20:B27)</f>
        <v>-1774</v>
      </c>
      <c r="C28" s="22" t="n">
        <f aca="false">SUMIFS(Tracker!$E$5:$E$1000,Tracker!$C$5:$C$1000,"Other")</f>
        <v>0</v>
      </c>
      <c r="D28" s="22" t="n">
        <f aca="false">B28-C28</f>
        <v>-1774</v>
      </c>
      <c r="E28" s="23" t="n">
        <f aca="false">IF($B$3=0,0,B28/$B$3)</f>
        <v>-0.1774</v>
      </c>
    </row>
    <row r="29" customFormat="false" ht="15" hidden="false" customHeight="true" outlineLevel="0" collapsed="false">
      <c r="A29" s="15" t="s">
        <v>27</v>
      </c>
      <c r="B29" s="24" t="n">
        <f aca="false">SUM(B20:B28)</f>
        <v>10000</v>
      </c>
      <c r="C29" s="24" t="n">
        <f aca="false">SUM(C20:C28)</f>
        <v>3057.8</v>
      </c>
      <c r="D29" s="24" t="n">
        <f aca="false">SUM(D20:D28)</f>
        <v>6942.2</v>
      </c>
      <c r="E29" s="25" t="n">
        <f aca="false">SUM(E20:E28)</f>
        <v>1</v>
      </c>
    </row>
    <row r="30" customFormat="false" ht="15" hidden="false" customHeight="true" outlineLevel="0" collapsed="false">
      <c r="A30" s="26" t="str">
        <f aca="false">IF(B28&lt;0,"⚠ Plan is over budget by "&amp;TEXT(-B28,"£#,##0"),IF(B28&lt;200,"⚠ Buffer below £200","✓ Plan fits the budget with a buffer"))</f>
        <v>⚠ Plan is over budget by £1,774</v>
      </c>
    </row>
    <row r="31" customFormat="false" ht="15" hidden="false" customHeight="true" outlineLevel="0" collapsed="false"/>
    <row r="32" customFormat="false" ht="15" hidden="false" customHeight="true" outlineLevel="0" collapsed="false">
      <c r="A32" s="6" t="s">
        <v>42</v>
      </c>
    </row>
    <row r="33" customFormat="false" ht="15" hidden="false" customHeight="true" outlineLevel="0" collapsed="false">
      <c r="A33" s="20" t="s">
        <v>43</v>
      </c>
      <c r="B33" s="27" t="n">
        <f aca="false">Tracker!I4</f>
        <v>3057.8</v>
      </c>
    </row>
    <row r="34" customFormat="false" ht="15" hidden="false" customHeight="true" outlineLevel="0" collapsed="false">
      <c r="A34" s="20" t="s">
        <v>44</v>
      </c>
      <c r="B34" s="22" t="n">
        <f aca="false">Tracker!I5</f>
        <v>0</v>
      </c>
    </row>
    <row r="35" customFormat="false" ht="15" hidden="false" customHeight="true" outlineLevel="0" collapsed="false">
      <c r="A35" s="20" t="s">
        <v>45</v>
      </c>
      <c r="B35" s="27" t="n">
        <f aca="false">Tracker!I7</f>
        <v>6942.2</v>
      </c>
    </row>
    <row r="36" customFormat="false" ht="15" hidden="false" customHeight="true" outlineLevel="0" collapsed="false"/>
    <row r="37" customFormat="false" ht="15" hidden="false" customHeight="true" outlineLevel="0" collapsed="false">
      <c r="A37" s="3" t="s">
        <v>46</v>
      </c>
    </row>
    <row r="38" customFormat="false" ht="15" hidden="false" customHeight="true" outlineLevel="0" collapsed="false"/>
    <row r="39" customFormat="false" ht="15" hidden="false" customHeight="true" outlineLevel="0" collapsed="false">
      <c r="A39" s="6" t="s">
        <v>47</v>
      </c>
    </row>
    <row r="40" customFormat="false" ht="15" hidden="false" customHeight="true" outlineLevel="0" collapsed="false">
      <c r="A40" s="20" t="s">
        <v>48</v>
      </c>
      <c r="B40" s="28" t="n">
        <v>8034.27</v>
      </c>
    </row>
    <row r="41" customFormat="false" ht="15" hidden="false" customHeight="true" outlineLevel="0" collapsed="false">
      <c r="A41" s="20" t="s">
        <v>49</v>
      </c>
      <c r="B41" s="27" t="n">
        <f aca="false">Tracker!I4</f>
        <v>3057.8</v>
      </c>
    </row>
    <row r="42" customFormat="false" ht="15" hidden="false" customHeight="true" outlineLevel="0" collapsed="false">
      <c r="A42" s="20" t="s">
        <v>50</v>
      </c>
      <c r="B42" s="27" t="n">
        <f aca="false">B40-B41</f>
        <v>4976.47</v>
      </c>
    </row>
    <row r="43" customFormat="false" ht="15" hidden="false" customHeight="true" outlineLevel="0" collapsed="false">
      <c r="A43" s="20" t="s">
        <v>51</v>
      </c>
      <c r="B43" s="27" t="n">
        <f aca="false">MAX(0,B3-B40)</f>
        <v>1965.73</v>
      </c>
    </row>
    <row r="44" customFormat="false" ht="15" hidden="false" customHeight="true" outlineLevel="0" collapsed="false">
      <c r="A44" s="20" t="s">
        <v>52</v>
      </c>
      <c r="B44" s="27" t="n">
        <f aca="false">MAX(0,SUM(B20:B27)-B40)</f>
        <v>3739.73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  <col collapsed="false" customWidth="true" hidden="false" outlineLevel="0" max="16" min="15" style="1" width="14"/>
  </cols>
  <sheetData>
    <row r="1" customFormat="false" ht="17.2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1.5" hidden="false" customHeight="true" outlineLevel="0" collapsed="false">
      <c r="A4" s="7" t="s">
        <v>4</v>
      </c>
      <c r="B4" s="7" t="s">
        <v>55</v>
      </c>
      <c r="C4" s="7" t="s">
        <v>5</v>
      </c>
      <c r="D4" s="7" t="s">
        <v>6</v>
      </c>
      <c r="E4" s="7" t="s">
        <v>56</v>
      </c>
      <c r="F4" s="7" t="s">
        <v>57</v>
      </c>
      <c r="G4" s="7" t="s">
        <v>58</v>
      </c>
      <c r="H4" s="7" t="s">
        <v>59</v>
      </c>
      <c r="I4" s="7" t="s">
        <v>60</v>
      </c>
      <c r="J4" s="7" t="s">
        <v>61</v>
      </c>
      <c r="K4" s="7" t="s">
        <v>62</v>
      </c>
      <c r="L4" s="7" t="s">
        <v>63</v>
      </c>
      <c r="M4" s="7" t="s">
        <v>64</v>
      </c>
      <c r="N4" s="7" t="s">
        <v>65</v>
      </c>
      <c r="O4" s="7" t="s">
        <v>66</v>
      </c>
      <c r="P4" s="7" t="s">
        <v>67</v>
      </c>
    </row>
    <row r="5" customFormat="false" ht="15" hidden="false" customHeight="true" outlineLevel="0" collapsed="false">
      <c r="A5" s="8" t="s">
        <v>11</v>
      </c>
      <c r="B5" s="8" t="s">
        <v>68</v>
      </c>
      <c r="C5" s="8" t="s">
        <v>69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G5+H5+I5+J5+O5+P5</f>
        <v>71</v>
      </c>
      <c r="L5" s="12" t="n">
        <f aca="false">IF(D5=0,0,K5/D5)</f>
        <v>71</v>
      </c>
      <c r="M5" s="9" t="str">
        <f aca="false">IF(Hotels!G5="Booked","Yes",IF(Hotels!G5="Staying with friends","N/A – host","No"))</f>
        <v>Yes</v>
      </c>
      <c r="N5" s="31" t="s">
        <v>70</v>
      </c>
      <c r="O5" s="30" t="n">
        <v>5</v>
      </c>
      <c r="P5" s="30" t="n">
        <v>0</v>
      </c>
    </row>
    <row r="6" customFormat="false" ht="15" hidden="false" customHeight="true" outlineLevel="0" collapsed="false">
      <c r="A6" s="8" t="s">
        <v>11</v>
      </c>
      <c r="B6" s="8" t="s">
        <v>71</v>
      </c>
      <c r="C6" s="8" t="s">
        <v>72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G6+H6+I6+J6+O6+P6</f>
        <v>125</v>
      </c>
      <c r="L6" s="12" t="n">
        <f aca="false">IF(D6=0,0,K6/D6)</f>
        <v>62.5</v>
      </c>
      <c r="M6" s="9" t="str">
        <f aca="false">IF(Hotels!G6="Booked","Yes",IF(Hotels!G6="Staying with friends","N/A – host","No"))</f>
        <v>N/A – host</v>
      </c>
      <c r="N6" s="31" t="s">
        <v>73</v>
      </c>
      <c r="O6" s="30" t="n">
        <v>10</v>
      </c>
      <c r="P6" s="30" t="n">
        <v>0</v>
      </c>
    </row>
    <row r="7" customFormat="false" ht="15" hidden="false" customHeight="true" outlineLevel="0" collapsed="false">
      <c r="A7" s="8" t="s">
        <v>13</v>
      </c>
      <c r="B7" s="8" t="s">
        <v>74</v>
      </c>
      <c r="C7" s="8" t="s">
        <v>75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17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G7+H7+I7+J7+O7+P7</f>
        <v>490.79</v>
      </c>
      <c r="L7" s="12" t="n">
        <f aca="false">IF(D7=0,0,K7/D7)</f>
        <v>163.596666666667</v>
      </c>
      <c r="M7" s="9" t="str">
        <f aca="false">IF(Hotels!G7="Booked","Yes",IF(Hotels!G7="Staying with friends","N/A – host","No"))</f>
        <v>Yes</v>
      </c>
      <c r="N7" s="31" t="s">
        <v>76</v>
      </c>
      <c r="O7" s="30" t="n">
        <v>15</v>
      </c>
      <c r="P7" s="30" t="n">
        <v>23</v>
      </c>
    </row>
    <row r="8" customFormat="false" ht="15" hidden="false" customHeight="true" outlineLevel="0" collapsed="false">
      <c r="A8" s="8" t="s">
        <v>13</v>
      </c>
      <c r="B8" s="8" t="s">
        <v>77</v>
      </c>
      <c r="C8" s="8" t="s">
        <v>78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G8+H8+I8+J8+O8+P8</f>
        <v>428.04</v>
      </c>
      <c r="L8" s="12" t="n">
        <f aca="false">IF(D8=0,0,K8/D8)</f>
        <v>142.68</v>
      </c>
      <c r="M8" s="9" t="str">
        <f aca="false">IF(Hotels!G8="Booked","Yes",IF(Hotels!G8="Staying with friends","N/A – host","No"))</f>
        <v>Yes</v>
      </c>
      <c r="N8" s="31" t="s">
        <v>79</v>
      </c>
      <c r="O8" s="30" t="n">
        <v>15</v>
      </c>
      <c r="P8" s="30" t="n">
        <v>0</v>
      </c>
    </row>
    <row r="9" customFormat="false" ht="15" hidden="false" customHeight="true" outlineLevel="0" collapsed="false">
      <c r="A9" s="8" t="s">
        <v>13</v>
      </c>
      <c r="B9" s="8" t="s">
        <v>80</v>
      </c>
      <c r="C9" s="8" t="s">
        <v>81</v>
      </c>
      <c r="D9" s="29" t="n">
        <v>5</v>
      </c>
      <c r="E9" s="10" t="n">
        <f aca="false">Hotels!H9</f>
        <v>67.61</v>
      </c>
      <c r="F9" s="30" t="n">
        <v>38</v>
      </c>
      <c r="G9" s="30" t="n">
        <v>49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G9+H9+I9+J9+O9+P9</f>
        <v>688.05</v>
      </c>
      <c r="L9" s="12" t="n">
        <f aca="false">IF(D9=0,0,K9/D9)</f>
        <v>137.61</v>
      </c>
      <c r="M9" s="9" t="str">
        <f aca="false">IF(Hotels!G9="Booked","Yes",IF(Hotels!G9="Staying with friends","N/A – host","No"))</f>
        <v>Yes</v>
      </c>
      <c r="N9" s="31" t="s">
        <v>82</v>
      </c>
      <c r="O9" s="30" t="n">
        <v>25</v>
      </c>
      <c r="P9" s="30" t="n">
        <v>26</v>
      </c>
    </row>
    <row r="10" customFormat="false" ht="15" hidden="false" customHeight="true" outlineLevel="0" collapsed="false">
      <c r="A10" s="8" t="s">
        <v>13</v>
      </c>
      <c r="B10" s="8" t="s">
        <v>83</v>
      </c>
      <c r="C10" s="8" t="s">
        <v>84</v>
      </c>
      <c r="D10" s="29" t="n">
        <v>3</v>
      </c>
      <c r="E10" s="10" t="n">
        <f aca="false">Hotels!H10</f>
        <v>75.39</v>
      </c>
      <c r="F10" s="30" t="n">
        <v>38</v>
      </c>
      <c r="G10" s="30" t="n">
        <v>14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G10+H10+I10+J10+O10+P10</f>
        <v>440.17</v>
      </c>
      <c r="L10" s="12" t="n">
        <f aca="false">IF(D10=0,0,K10/D10)</f>
        <v>146.723333333333</v>
      </c>
      <c r="M10" s="9" t="str">
        <f aca="false">IF(Hotels!G10="Booked","Yes",IF(Hotels!G10="Staying with friends","N/A – host","No"))</f>
        <v>Yes</v>
      </c>
      <c r="N10" s="31" t="s">
        <v>85</v>
      </c>
      <c r="O10" s="30" t="n">
        <v>15</v>
      </c>
      <c r="P10" s="30" t="n">
        <v>31</v>
      </c>
    </row>
    <row r="11" customFormat="false" ht="15" hidden="false" customHeight="true" outlineLevel="0" collapsed="false">
      <c r="A11" s="8" t="s">
        <v>13</v>
      </c>
      <c r="B11" s="8" t="s">
        <v>86</v>
      </c>
      <c r="C11" s="8" t="s">
        <v>87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G11+H11+I11+J11+O11+P11</f>
        <v>818.97</v>
      </c>
      <c r="L11" s="12" t="n">
        <f aca="false">IF(D11=0,0,K11/D11)</f>
        <v>136.495</v>
      </c>
      <c r="M11" s="9" t="str">
        <f aca="false">IF(Hotels!G11="Booked","Yes",IF(Hotels!G11="Staying with friends","N/A – host","No"))</f>
        <v>Yes</v>
      </c>
      <c r="N11" s="31" t="s">
        <v>88</v>
      </c>
      <c r="O11" s="30" t="n">
        <v>30</v>
      </c>
      <c r="P11" s="30" t="n">
        <v>0</v>
      </c>
    </row>
    <row r="12" customFormat="false" ht="15" hidden="false" customHeight="true" outlineLevel="0" collapsed="false">
      <c r="A12" s="8" t="s">
        <v>15</v>
      </c>
      <c r="B12" s="8" t="s">
        <v>89</v>
      </c>
      <c r="C12" s="8" t="s">
        <v>90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G12+H12+I12+J12+O12+P12</f>
        <v>205</v>
      </c>
      <c r="L12" s="12" t="n">
        <f aca="false">IF(D12=0,0,K12/D12)</f>
        <v>68.3333333333333</v>
      </c>
      <c r="M12" s="9" t="str">
        <f aca="false">IF(Hotels!G12="Booked","Yes",IF(Hotels!G12="Staying with friends","N/A – host","No"))</f>
        <v>No</v>
      </c>
      <c r="N12" s="31" t="s">
        <v>91</v>
      </c>
      <c r="O12" s="30" t="n">
        <v>15</v>
      </c>
      <c r="P12" s="30" t="n">
        <v>0</v>
      </c>
    </row>
    <row r="13" customFormat="false" ht="15" hidden="false" customHeight="true" outlineLevel="0" collapsed="false">
      <c r="A13" s="8" t="s">
        <v>15</v>
      </c>
      <c r="B13" s="8" t="s">
        <v>92</v>
      </c>
      <c r="C13" s="8" t="s">
        <v>93</v>
      </c>
      <c r="D13" s="29" t="n">
        <v>4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100</v>
      </c>
      <c r="J13" s="12" t="n">
        <f aca="false">D13*F13</f>
        <v>108</v>
      </c>
      <c r="K13" s="12" t="n">
        <f aca="false">G13+H13+I13+J13+O13+P13</f>
        <v>313</v>
      </c>
      <c r="L13" s="12" t="n">
        <f aca="false">IF(D13=0,0,K13/D13)</f>
        <v>78.25</v>
      </c>
      <c r="M13" s="9" t="str">
        <f aca="false">IF(Hotels!G13="Booked","Yes",IF(Hotels!G13="Staying with friends","N/A – host","No"))</f>
        <v>No</v>
      </c>
      <c r="N13" s="31" t="s">
        <v>94</v>
      </c>
      <c r="O13" s="30" t="n">
        <v>20</v>
      </c>
      <c r="P13" s="30" t="n">
        <v>0</v>
      </c>
    </row>
    <row r="14" customFormat="false" ht="15" hidden="false" customHeight="true" outlineLevel="0" collapsed="false">
      <c r="A14" s="8" t="s">
        <v>17</v>
      </c>
      <c r="B14" s="8" t="s">
        <v>95</v>
      </c>
      <c r="C14" s="8" t="s">
        <v>96</v>
      </c>
      <c r="D14" s="29" t="n">
        <v>5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225</v>
      </c>
      <c r="J14" s="12" t="n">
        <f aca="false">D14*F14</f>
        <v>237.5</v>
      </c>
      <c r="K14" s="12" t="n">
        <f aca="false">G14+H14+I14+J14+O14+P14</f>
        <v>557.5</v>
      </c>
      <c r="L14" s="12" t="n">
        <f aca="false">IF(D14=0,0,K14/D14)</f>
        <v>111.5</v>
      </c>
      <c r="M14" s="9" t="str">
        <f aca="false">IF(Hotels!G14="Booked","Yes",IF(Hotels!G14="Staying with friends","N/A – host","No"))</f>
        <v>No</v>
      </c>
      <c r="N14" s="31" t="s">
        <v>97</v>
      </c>
      <c r="O14" s="30" t="n">
        <v>25</v>
      </c>
      <c r="P14" s="30" t="n">
        <v>0</v>
      </c>
    </row>
    <row r="15" customFormat="false" ht="15" hidden="false" customHeight="true" outlineLevel="0" collapsed="false">
      <c r="A15" s="8" t="s">
        <v>17</v>
      </c>
      <c r="B15" s="8" t="s">
        <v>98</v>
      </c>
      <c r="C15" s="8" t="s">
        <v>99</v>
      </c>
      <c r="D15" s="29" t="n">
        <v>3</v>
      </c>
      <c r="E15" s="10" t="n">
        <f aca="false">Hotels!H15</f>
        <v>35</v>
      </c>
      <c r="F15" s="30" t="n">
        <v>25</v>
      </c>
      <c r="G15" s="30" t="n">
        <v>17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G15+H15+I15+J15+O15+P15</f>
        <v>275</v>
      </c>
      <c r="L15" s="12" t="n">
        <f aca="false">IF(D15=0,0,K15/D15)</f>
        <v>91.6666666666667</v>
      </c>
      <c r="M15" s="9" t="str">
        <f aca="false">IF(Hotels!G15="Booked","Yes",IF(Hotels!G15="Staying with friends","N/A – host","No"))</f>
        <v>No</v>
      </c>
      <c r="N15" s="31" t="s">
        <v>100</v>
      </c>
      <c r="O15" s="30" t="n">
        <v>15</v>
      </c>
      <c r="P15" s="30" t="n">
        <v>33</v>
      </c>
    </row>
    <row r="16" customFormat="false" ht="15" hidden="false" customHeight="true" outlineLevel="0" collapsed="false">
      <c r="A16" s="8" t="s">
        <v>19</v>
      </c>
      <c r="B16" s="8" t="s">
        <v>101</v>
      </c>
      <c r="C16" s="8" t="s">
        <v>102</v>
      </c>
      <c r="D16" s="29" t="n">
        <v>4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140</v>
      </c>
      <c r="J16" s="12" t="n">
        <f aca="false">D16*F16</f>
        <v>88</v>
      </c>
      <c r="K16" s="12" t="n">
        <f aca="false">G16+H16+I16+J16+O16+P16</f>
        <v>308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103</v>
      </c>
      <c r="O16" s="30" t="n">
        <v>20</v>
      </c>
      <c r="P16" s="30" t="n">
        <v>0</v>
      </c>
    </row>
    <row r="17" customFormat="false" ht="15" hidden="false" customHeight="true" outlineLevel="0" collapsed="false">
      <c r="A17" s="8" t="s">
        <v>19</v>
      </c>
      <c r="B17" s="8" t="s">
        <v>104</v>
      </c>
      <c r="C17" s="8" t="s">
        <v>105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G17+H17+I17+J17+O17+P17</f>
        <v>490</v>
      </c>
      <c r="L17" s="12" t="n">
        <f aca="false">IF(D17=0,0,K17/D17)</f>
        <v>98</v>
      </c>
      <c r="M17" s="9" t="str">
        <f aca="false">IF(Hotels!G17="Booked","Yes",IF(Hotels!G17="Staying with friends","N/A – host","No"))</f>
        <v>No</v>
      </c>
      <c r="N17" s="31" t="s">
        <v>106</v>
      </c>
      <c r="O17" s="30" t="n">
        <v>25</v>
      </c>
      <c r="P17" s="30" t="n">
        <v>0</v>
      </c>
    </row>
    <row r="18" customFormat="false" ht="15" hidden="false" customHeight="true" outlineLevel="0" collapsed="false">
      <c r="A18" s="8" t="s">
        <v>21</v>
      </c>
      <c r="B18" s="8" t="s">
        <v>107</v>
      </c>
      <c r="C18" s="8" t="s">
        <v>108</v>
      </c>
      <c r="D18" s="29" t="n">
        <v>5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450</v>
      </c>
      <c r="J18" s="12" t="n">
        <f aca="false">D18*F18</f>
        <v>225</v>
      </c>
      <c r="K18" s="12" t="n">
        <f aca="false">G18+H18+I18+J18+O18+P18</f>
        <v>780</v>
      </c>
      <c r="L18" s="12" t="n">
        <f aca="false">IF(D18=0,0,K18/D18)</f>
        <v>156</v>
      </c>
      <c r="M18" s="9" t="str">
        <f aca="false">IF(Hotels!G18="Booked","Yes",IF(Hotels!G18="Staying with friends","N/A – host","No"))</f>
        <v>No</v>
      </c>
      <c r="N18" s="31" t="s">
        <v>109</v>
      </c>
      <c r="O18" s="30" t="n">
        <v>25</v>
      </c>
      <c r="P18" s="30" t="n">
        <v>0</v>
      </c>
    </row>
    <row r="19" customFormat="false" ht="15" hidden="false" customHeight="true" outlineLevel="0" collapsed="false">
      <c r="A19" s="8" t="s">
        <v>21</v>
      </c>
      <c r="B19" s="8" t="s">
        <v>110</v>
      </c>
      <c r="C19" s="8" t="s">
        <v>111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G19+H19+I19+J19+O19+P19</f>
        <v>325</v>
      </c>
      <c r="L19" s="12" t="n">
        <f aca="false">IF(D19=0,0,K19/D19)</f>
        <v>81.25</v>
      </c>
      <c r="M19" s="9" t="str">
        <f aca="false">IF(Hotels!G19="Booked","Yes",IF(Hotels!G19="Staying with friends","N/A – host","No"))</f>
        <v>No</v>
      </c>
      <c r="N19" s="31" t="s">
        <v>112</v>
      </c>
      <c r="O19" s="30" t="n">
        <v>20</v>
      </c>
      <c r="P19" s="30" t="n">
        <v>0</v>
      </c>
    </row>
    <row r="20" customFormat="false" ht="15" hidden="false" customHeight="true" outlineLevel="0" collapsed="false">
      <c r="A20" s="8" t="s">
        <v>11</v>
      </c>
      <c r="B20" s="8" t="s">
        <v>113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G20+H20+I20+J20+O20+P20</f>
        <v>1140</v>
      </c>
      <c r="L20" s="12" t="n">
        <f aca="false">IF(D20=0,0,K20/D20)</f>
        <v>57</v>
      </c>
      <c r="M20" s="9" t="str">
        <f aca="false">IF(Hotels!G20="Booked","Yes",IF(Hotels!G20="Staying with friends","N/A – host","No"))</f>
        <v>N/A – host</v>
      </c>
      <c r="N20" s="31" t="s">
        <v>114</v>
      </c>
      <c r="O20" s="30" t="n">
        <v>100</v>
      </c>
      <c r="P20" s="30" t="n">
        <v>0</v>
      </c>
    </row>
    <row r="21" customFormat="false" ht="15" hidden="false" customHeight="true" outlineLevel="0" collapsed="false">
      <c r="A21" s="8" t="s">
        <v>13</v>
      </c>
      <c r="B21" s="8" t="s">
        <v>115</v>
      </c>
      <c r="C21" s="8" t="s">
        <v>116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G21+H21+I21+J21+O21+P21</f>
        <v>1034</v>
      </c>
      <c r="L21" s="12" t="n">
        <f aca="false">IF(D21=0,0,K21/D21)</f>
        <v>129.25</v>
      </c>
      <c r="M21" s="9" t="str">
        <f aca="false">IF(Hotels!G21="Booked","Yes",IF(Hotels!G21="Staying with friends","N/A – host","No"))</f>
        <v>No</v>
      </c>
      <c r="N21" s="31" t="s">
        <v>117</v>
      </c>
      <c r="O21" s="30" t="n">
        <v>40</v>
      </c>
      <c r="P21" s="30" t="n">
        <v>0</v>
      </c>
    </row>
    <row r="22" customFormat="false" ht="15" hidden="false" customHeight="true" outlineLevel="0" collapsed="false">
      <c r="A22" s="8" t="s">
        <v>13</v>
      </c>
      <c r="B22" s="8" t="s">
        <v>118</v>
      </c>
      <c r="C22" s="8" t="s">
        <v>119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G22+H22+I22+J22+O22+P22</f>
        <v>360</v>
      </c>
      <c r="L22" s="12" t="n">
        <f aca="false">IF(D22=0,0,K22/D22)</f>
        <v>180</v>
      </c>
      <c r="M22" s="9" t="str">
        <f aca="false">IF(Hotels!G22="Booked","Yes",IF(Hotels!G22="Staying with friends","N/A – host","No"))</f>
        <v>No</v>
      </c>
      <c r="N22" s="31" t="s">
        <v>120</v>
      </c>
      <c r="O22" s="30" t="n">
        <v>10</v>
      </c>
      <c r="P22" s="30" t="n">
        <v>0</v>
      </c>
    </row>
    <row r="23" customFormat="false" ht="15" hidden="false" customHeight="true" outlineLevel="0" collapsed="false">
      <c r="A23" s="8" t="s">
        <v>13</v>
      </c>
      <c r="B23" s="8" t="s">
        <v>121</v>
      </c>
      <c r="C23" s="8" t="s">
        <v>122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G23+H23+I23+J23+O23+P23</f>
        <v>354</v>
      </c>
      <c r="L23" s="12" t="n">
        <f aca="false">IF(D23=0,0,K23/D23)</f>
        <v>118</v>
      </c>
      <c r="M23" s="9" t="str">
        <f aca="false">IF(Hotels!G23="Booked","Yes",IF(Hotels!G23="Staying with friends","N/A – host","No"))</f>
        <v>No</v>
      </c>
      <c r="N23" s="31" t="s">
        <v>123</v>
      </c>
      <c r="O23" s="30" t="n">
        <v>15</v>
      </c>
      <c r="P23" s="30" t="n">
        <v>0</v>
      </c>
    </row>
    <row r="24" customFormat="false" ht="15" hidden="false" customHeight="true" outlineLevel="0" collapsed="false">
      <c r="A24" s="8" t="s">
        <v>13</v>
      </c>
      <c r="B24" s="8" t="s">
        <v>124</v>
      </c>
      <c r="C24" s="8" t="s">
        <v>125</v>
      </c>
      <c r="D24" s="29" t="n">
        <v>2</v>
      </c>
      <c r="E24" s="10" t="n">
        <f aca="false">Hotels!H24</f>
        <v>80</v>
      </c>
      <c r="F24" s="30" t="n">
        <v>38</v>
      </c>
      <c r="G24" s="30" t="n">
        <v>12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G24+H24+I24+J24+O24+P24</f>
        <v>406</v>
      </c>
      <c r="L24" s="12" t="n">
        <f aca="false">IF(D24=0,0,K24/D24)</f>
        <v>203</v>
      </c>
      <c r="M24" s="9" t="str">
        <f aca="false">IF(Hotels!G24="Booked","Yes",IF(Hotels!G24="Staying with friends","N/A – host","No"))</f>
        <v>No</v>
      </c>
      <c r="N24" s="31" t="s">
        <v>126</v>
      </c>
      <c r="O24" s="30" t="n">
        <v>10</v>
      </c>
      <c r="P24" s="30" t="n">
        <v>118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739</v>
      </c>
      <c r="H25" s="16" t="n">
        <f aca="false">SUM(H5:H24)</f>
        <v>1030</v>
      </c>
      <c r="I25" s="16" t="n">
        <f aca="false">SUM(I5:I24)</f>
        <v>3767.02</v>
      </c>
      <c r="J25" s="16" t="n">
        <f aca="false">SUM(J5:J24)</f>
        <v>3387.5</v>
      </c>
      <c r="K25" s="16" t="n">
        <f aca="false">SUM(K5:K24)</f>
        <v>9609.52</v>
      </c>
      <c r="L25" s="16" t="n">
        <f aca="false">IF(D25=0,0,K25/D25)</f>
        <v>105.599120879121</v>
      </c>
      <c r="M25" s="15"/>
      <c r="N25" s="15"/>
      <c r="O25" s="16" t="n">
        <f aca="false">SUM(O5:O24)</f>
        <v>455</v>
      </c>
      <c r="P25" s="16" t="n">
        <f aca="false">SUM(P5:P24)</f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127</v>
      </c>
    </row>
    <row r="2" customFormat="false" ht="15" hidden="false" customHeight="true" outlineLevel="0" collapsed="false">
      <c r="A2" s="32" t="s">
        <v>128</v>
      </c>
    </row>
    <row r="4" customFormat="false" ht="31.5" hidden="false" customHeight="true" outlineLevel="0" collapsed="false">
      <c r="A4" s="33" t="s">
        <v>4</v>
      </c>
      <c r="B4" s="33" t="s">
        <v>55</v>
      </c>
      <c r="C4" s="33" t="s">
        <v>129</v>
      </c>
      <c r="D4" s="33" t="s">
        <v>6</v>
      </c>
      <c r="E4" s="33" t="s">
        <v>130</v>
      </c>
      <c r="F4" s="33" t="s">
        <v>131</v>
      </c>
      <c r="G4" s="33" t="s">
        <v>132</v>
      </c>
      <c r="H4" s="33" t="s">
        <v>133</v>
      </c>
      <c r="I4" s="33" t="s">
        <v>62</v>
      </c>
      <c r="J4" s="33" t="s">
        <v>134</v>
      </c>
      <c r="K4" s="33" t="s">
        <v>135</v>
      </c>
      <c r="L4" s="33" t="s">
        <v>136</v>
      </c>
      <c r="M4" s="33" t="s">
        <v>137</v>
      </c>
      <c r="N4" s="33" t="s">
        <v>65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138</v>
      </c>
      <c r="G5" s="38" t="s">
        <v>139</v>
      </c>
      <c r="H5" s="39" t="n">
        <v>36</v>
      </c>
      <c r="I5" s="40" t="n">
        <f aca="false">D5*H5</f>
        <v>36</v>
      </c>
      <c r="J5" s="38" t="s">
        <v>43</v>
      </c>
      <c r="K5" s="37"/>
      <c r="L5" s="37" t="s">
        <v>140</v>
      </c>
      <c r="M5" s="37" t="s">
        <v>141</v>
      </c>
      <c r="N5" s="41" t="s">
        <v>142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143</v>
      </c>
      <c r="G6" s="38" t="s">
        <v>144</v>
      </c>
      <c r="H6" s="39" t="n">
        <v>0</v>
      </c>
      <c r="I6" s="40" t="n">
        <f aca="false">D6*H6</f>
        <v>0</v>
      </c>
      <c r="J6" s="38" t="s">
        <v>145</v>
      </c>
      <c r="K6" s="37"/>
      <c r="L6" s="37"/>
      <c r="M6" s="37"/>
      <c r="N6" s="41" t="s">
        <v>146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147</v>
      </c>
      <c r="G7" s="38" t="s">
        <v>139</v>
      </c>
      <c r="H7" s="39" t="n">
        <f aca="false">(52.24+239.55)/3</f>
        <v>97.2633333333333</v>
      </c>
      <c r="I7" s="40" t="n">
        <f aca="false">D7*H7</f>
        <v>291.79</v>
      </c>
      <c r="J7" s="38" t="s">
        <v>43</v>
      </c>
      <c r="K7" s="37"/>
      <c r="L7" s="37"/>
      <c r="M7" s="37"/>
      <c r="N7" s="41" t="s">
        <v>148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149</v>
      </c>
      <c r="G8" s="38" t="s">
        <v>139</v>
      </c>
      <c r="H8" s="39" t="n">
        <f aca="false">(137.26+66.78)/3</f>
        <v>68.0133333333333</v>
      </c>
      <c r="I8" s="40" t="n">
        <f aca="false">D8*H8</f>
        <v>204.04</v>
      </c>
      <c r="J8" s="38" t="s">
        <v>43</v>
      </c>
      <c r="K8" s="37"/>
      <c r="L8" s="37"/>
      <c r="M8" s="37"/>
      <c r="N8" s="41" t="s">
        <v>150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151</v>
      </c>
      <c r="G9" s="38" t="s">
        <v>139</v>
      </c>
      <c r="H9" s="39" t="n">
        <f aca="false">338.05/5</f>
        <v>67.61</v>
      </c>
      <c r="I9" s="40" t="n">
        <f aca="false">D9*H9</f>
        <v>338.05</v>
      </c>
      <c r="J9" s="38" t="s">
        <v>43</v>
      </c>
      <c r="K9" s="37"/>
      <c r="L9" s="37"/>
      <c r="M9" s="37"/>
      <c r="N9" s="41" t="s">
        <v>152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153</v>
      </c>
      <c r="G10" s="38" t="s">
        <v>139</v>
      </c>
      <c r="H10" s="39" t="n">
        <f aca="false">226.17/3</f>
        <v>75.39</v>
      </c>
      <c r="I10" s="40" t="n">
        <f aca="false">D10*H10</f>
        <v>226.17</v>
      </c>
      <c r="J10" s="38" t="s">
        <v>43</v>
      </c>
      <c r="K10" s="37"/>
      <c r="L10" s="37"/>
      <c r="M10" s="37"/>
      <c r="N10" s="41" t="s">
        <v>154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155</v>
      </c>
      <c r="G11" s="38" t="s">
        <v>139</v>
      </c>
      <c r="H11" s="39" t="n">
        <f aca="false">300.97/6</f>
        <v>50.1616666666667</v>
      </c>
      <c r="I11" s="40" t="n">
        <f aca="false">D11*H11</f>
        <v>300.97</v>
      </c>
      <c r="J11" s="38" t="s">
        <v>43</v>
      </c>
      <c r="K11" s="37"/>
      <c r="L11" s="37"/>
      <c r="M11" s="37"/>
      <c r="N11" s="41" t="s">
        <v>156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157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158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4</v>
      </c>
      <c r="E13" s="36" t="n">
        <f aca="false">C13+D13</f>
        <v>46344</v>
      </c>
      <c r="F13" s="37"/>
      <c r="G13" s="38" t="s">
        <v>157</v>
      </c>
      <c r="H13" s="39" t="n">
        <v>25</v>
      </c>
      <c r="I13" s="40" t="n">
        <f aca="false">D13*H13</f>
        <v>100</v>
      </c>
      <c r="J13" s="38"/>
      <c r="K13" s="37"/>
      <c r="L13" s="37"/>
      <c r="M13" s="37"/>
      <c r="N13" s="41" t="s">
        <v>159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46344</v>
      </c>
      <c r="D14" s="34" t="n">
        <f aca="false">Itinerary!D14</f>
        <v>5</v>
      </c>
      <c r="E14" s="36" t="n">
        <f aca="false">C14+D14</f>
        <v>46349</v>
      </c>
      <c r="F14" s="37"/>
      <c r="G14" s="38" t="s">
        <v>157</v>
      </c>
      <c r="H14" s="39" t="n">
        <v>45</v>
      </c>
      <c r="I14" s="40" t="n">
        <f aca="false">D14*H14</f>
        <v>225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157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4</v>
      </c>
      <c r="E16" s="36" t="n">
        <f aca="false">C16+D16</f>
        <v>46356</v>
      </c>
      <c r="F16" s="37"/>
      <c r="G16" s="38" t="s">
        <v>157</v>
      </c>
      <c r="H16" s="39" t="n">
        <v>35</v>
      </c>
      <c r="I16" s="40" t="n">
        <f aca="false">D16*H16</f>
        <v>140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46356</v>
      </c>
      <c r="D17" s="34" t="n">
        <f aca="false">Itinerary!D17</f>
        <v>5</v>
      </c>
      <c r="E17" s="36" t="n">
        <f aca="false">C17+D17</f>
        <v>46361</v>
      </c>
      <c r="F17" s="37"/>
      <c r="G17" s="38" t="s">
        <v>157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160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46361</v>
      </c>
      <c r="D18" s="34" t="n">
        <f aca="false">Itinerary!D18</f>
        <v>5</v>
      </c>
      <c r="E18" s="36" t="n">
        <f aca="false">C18+D18</f>
        <v>46366</v>
      </c>
      <c r="F18" s="37"/>
      <c r="G18" s="38" t="s">
        <v>157</v>
      </c>
      <c r="H18" s="39" t="n">
        <v>90</v>
      </c>
      <c r="I18" s="40" t="n">
        <f aca="false">D18*H18</f>
        <v>450</v>
      </c>
      <c r="J18" s="38"/>
      <c r="K18" s="37"/>
      <c r="L18" s="37"/>
      <c r="M18" s="37"/>
      <c r="N18" s="41" t="s">
        <v>161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157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162</v>
      </c>
      <c r="G20" s="38" t="s">
        <v>144</v>
      </c>
      <c r="H20" s="39" t="n">
        <v>0</v>
      </c>
      <c r="I20" s="40" t="n">
        <f aca="false">D20*H20</f>
        <v>0</v>
      </c>
      <c r="J20" s="38" t="s">
        <v>145</v>
      </c>
      <c r="K20" s="37"/>
      <c r="L20" s="37"/>
      <c r="M20" s="37"/>
      <c r="N20" s="41" t="s">
        <v>163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157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161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157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120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157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157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164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3767.02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165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166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167</v>
      </c>
      <c r="C29" s="45" t="n">
        <f aca="false">SUMIF(G5:G24,"To book",I5:I24)+SUMIF(G5:G24,"Shortlisted",I5:I24)</f>
        <v>2370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168</v>
      </c>
    </row>
    <row r="2" customFormat="false" ht="15" hidden="false" customHeight="true" outlineLevel="0" collapsed="false">
      <c r="A2" s="32" t="s">
        <v>169</v>
      </c>
    </row>
    <row r="4" customFormat="false" ht="30" hidden="false" customHeight="true" outlineLevel="0" collapsed="false">
      <c r="A4" s="33" t="s">
        <v>170</v>
      </c>
      <c r="B4" s="33" t="s">
        <v>171</v>
      </c>
      <c r="C4" s="33" t="s">
        <v>172</v>
      </c>
      <c r="D4" s="33" t="s">
        <v>173</v>
      </c>
      <c r="E4" s="33" t="s">
        <v>174</v>
      </c>
      <c r="F4" s="33" t="s">
        <v>175</v>
      </c>
      <c r="G4" s="33" t="s">
        <v>176</v>
      </c>
      <c r="H4" s="33" t="s">
        <v>177</v>
      </c>
      <c r="I4" s="33" t="s">
        <v>178</v>
      </c>
      <c r="J4" s="33" t="s">
        <v>132</v>
      </c>
      <c r="K4" s="33" t="s">
        <v>179</v>
      </c>
      <c r="L4" s="33" t="s">
        <v>180</v>
      </c>
      <c r="M4" s="33" t="s">
        <v>65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181</v>
      </c>
      <c r="D5" s="38" t="s">
        <v>182</v>
      </c>
      <c r="E5" s="38" t="s">
        <v>183</v>
      </c>
      <c r="F5" s="38" t="s">
        <v>184</v>
      </c>
      <c r="G5" s="38"/>
      <c r="H5" s="38" t="s">
        <v>185</v>
      </c>
      <c r="I5" s="47" t="n">
        <v>667.6</v>
      </c>
      <c r="J5" s="38" t="s">
        <v>139</v>
      </c>
      <c r="K5" s="38" t="s">
        <v>186</v>
      </c>
      <c r="L5" s="38"/>
      <c r="M5" s="41" t="s">
        <v>187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182</v>
      </c>
      <c r="D6" s="38" t="s">
        <v>188</v>
      </c>
      <c r="E6" s="38" t="s">
        <v>189</v>
      </c>
      <c r="F6" s="38" t="s">
        <v>190</v>
      </c>
      <c r="G6" s="38" t="s">
        <v>191</v>
      </c>
      <c r="H6" s="38" t="s">
        <v>185</v>
      </c>
      <c r="I6" s="47" t="n">
        <v>0</v>
      </c>
      <c r="J6" s="38" t="s">
        <v>139</v>
      </c>
      <c r="K6" s="38" t="s">
        <v>186</v>
      </c>
      <c r="L6" s="38"/>
      <c r="M6" s="41" t="s">
        <v>192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188</v>
      </c>
      <c r="D7" s="38" t="s">
        <v>193</v>
      </c>
      <c r="E7" s="38" t="s">
        <v>194</v>
      </c>
      <c r="F7" s="38" t="s">
        <v>195</v>
      </c>
      <c r="G7" s="38" t="s">
        <v>196</v>
      </c>
      <c r="H7" s="38" t="s">
        <v>197</v>
      </c>
      <c r="I7" s="47" t="n">
        <v>87.7</v>
      </c>
      <c r="J7" s="38" t="s">
        <v>139</v>
      </c>
      <c r="K7" s="38" t="s">
        <v>186</v>
      </c>
      <c r="L7" s="38"/>
      <c r="M7" s="41" t="s">
        <v>198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199</v>
      </c>
      <c r="D8" s="38" t="s">
        <v>200</v>
      </c>
      <c r="E8" s="38" t="s">
        <v>201</v>
      </c>
      <c r="F8" s="38" t="s">
        <v>202</v>
      </c>
      <c r="G8" s="38" t="s">
        <v>203</v>
      </c>
      <c r="H8" s="38" t="s">
        <v>204</v>
      </c>
      <c r="I8" s="47" t="n">
        <v>211.52</v>
      </c>
      <c r="J8" s="38" t="s">
        <v>139</v>
      </c>
      <c r="K8" s="38" t="s">
        <v>186</v>
      </c>
      <c r="L8" s="38"/>
      <c r="M8" s="41" t="s">
        <v>205</v>
      </c>
    </row>
    <row r="9" customFormat="false" ht="15" hidden="false" customHeight="true" outlineLevel="0" collapsed="false">
      <c r="A9" s="46" t="n">
        <v>5</v>
      </c>
      <c r="B9" s="35" t="n">
        <v>46344</v>
      </c>
      <c r="C9" s="38" t="s">
        <v>206</v>
      </c>
      <c r="D9" s="38" t="s">
        <v>207</v>
      </c>
      <c r="E9" s="38"/>
      <c r="F9" s="38"/>
      <c r="G9" s="38"/>
      <c r="H9" s="38" t="s">
        <v>208</v>
      </c>
      <c r="I9" s="47" t="n">
        <v>130</v>
      </c>
      <c r="J9" s="38" t="s">
        <v>157</v>
      </c>
      <c r="K9" s="38" t="s">
        <v>209</v>
      </c>
      <c r="L9" s="38"/>
      <c r="M9" s="41" t="s">
        <v>210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211</v>
      </c>
      <c r="D10" s="38" t="s">
        <v>212</v>
      </c>
      <c r="E10" s="38"/>
      <c r="F10" s="38"/>
      <c r="G10" s="38"/>
      <c r="H10" s="38" t="s">
        <v>208</v>
      </c>
      <c r="I10" s="47" t="n">
        <v>130</v>
      </c>
      <c r="J10" s="38" t="s">
        <v>157</v>
      </c>
      <c r="K10" s="38" t="s">
        <v>213</v>
      </c>
      <c r="L10" s="38"/>
      <c r="M10" s="41" t="s">
        <v>214</v>
      </c>
    </row>
    <row r="11" customFormat="false" ht="15" hidden="false" customHeight="true" outlineLevel="0" collapsed="false">
      <c r="A11" s="46" t="n">
        <v>7</v>
      </c>
      <c r="B11" s="35" t="n">
        <v>46361</v>
      </c>
      <c r="C11" s="38" t="s">
        <v>215</v>
      </c>
      <c r="D11" s="38" t="s">
        <v>216</v>
      </c>
      <c r="E11" s="38"/>
      <c r="F11" s="38"/>
      <c r="G11" s="38"/>
      <c r="H11" s="38" t="s">
        <v>217</v>
      </c>
      <c r="I11" s="47" t="n">
        <v>80</v>
      </c>
      <c r="J11" s="38" t="s">
        <v>157</v>
      </c>
      <c r="K11" s="38" t="s">
        <v>213</v>
      </c>
      <c r="L11" s="38"/>
      <c r="M11" s="41" t="s">
        <v>218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216</v>
      </c>
      <c r="D12" s="38" t="s">
        <v>219</v>
      </c>
      <c r="E12" s="38"/>
      <c r="F12" s="38"/>
      <c r="G12" s="38"/>
      <c r="H12" s="38" t="s">
        <v>217</v>
      </c>
      <c r="I12" s="47" t="n">
        <v>70</v>
      </c>
      <c r="J12" s="38" t="s">
        <v>157</v>
      </c>
      <c r="K12" s="38" t="s">
        <v>220</v>
      </c>
      <c r="L12" s="38"/>
      <c r="M12" s="41" t="s">
        <v>221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219</v>
      </c>
      <c r="D13" s="38" t="s">
        <v>188</v>
      </c>
      <c r="E13" s="38"/>
      <c r="F13" s="38"/>
      <c r="G13" s="38"/>
      <c r="H13" s="38" t="s">
        <v>217</v>
      </c>
      <c r="I13" s="47" t="n">
        <v>180</v>
      </c>
      <c r="J13" s="38" t="s">
        <v>157</v>
      </c>
      <c r="K13" s="38" t="s">
        <v>213</v>
      </c>
      <c r="L13" s="38"/>
      <c r="M13" s="41" t="s">
        <v>222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188</v>
      </c>
      <c r="D14" s="38" t="s">
        <v>223</v>
      </c>
      <c r="E14" s="38"/>
      <c r="F14" s="38"/>
      <c r="G14" s="38"/>
      <c r="H14" s="38" t="s">
        <v>224</v>
      </c>
      <c r="I14" s="47" t="n">
        <v>150</v>
      </c>
      <c r="J14" s="38" t="s">
        <v>157</v>
      </c>
      <c r="K14" s="38" t="s">
        <v>225</v>
      </c>
      <c r="L14" s="38"/>
      <c r="M14" s="41" t="s">
        <v>226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227</v>
      </c>
      <c r="D15" s="38" t="s">
        <v>182</v>
      </c>
      <c r="E15" s="38" t="s">
        <v>228</v>
      </c>
      <c r="F15" s="38" t="s">
        <v>229</v>
      </c>
      <c r="G15" s="38" t="s">
        <v>230</v>
      </c>
      <c r="H15" s="38" t="s">
        <v>185</v>
      </c>
      <c r="I15" s="47" t="n">
        <v>0</v>
      </c>
      <c r="J15" s="38" t="s">
        <v>139</v>
      </c>
      <c r="K15" s="38" t="s">
        <v>186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182</v>
      </c>
      <c r="D16" s="38" t="s">
        <v>181</v>
      </c>
      <c r="E16" s="38" t="s">
        <v>231</v>
      </c>
      <c r="F16" s="38" t="s">
        <v>232</v>
      </c>
      <c r="G16" s="38" t="s">
        <v>233</v>
      </c>
      <c r="H16" s="38" t="s">
        <v>185</v>
      </c>
      <c r="I16" s="47" t="n">
        <v>0</v>
      </c>
      <c r="J16" s="38" t="s">
        <v>139</v>
      </c>
      <c r="K16" s="38" t="s">
        <v>186</v>
      </c>
      <c r="L16" s="38"/>
      <c r="M16" s="41" t="s">
        <v>234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235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236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237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238</v>
      </c>
    </row>
    <row r="3" customFormat="false" ht="15" hidden="false" customHeight="true" outlineLevel="0" collapsed="false">
      <c r="A3" s="6" t="s">
        <v>239</v>
      </c>
    </row>
    <row r="4" customFormat="false" ht="31.5" hidden="false" customHeight="true" outlineLevel="0" collapsed="false">
      <c r="A4" s="7" t="s">
        <v>240</v>
      </c>
      <c r="B4" s="7" t="s">
        <v>241</v>
      </c>
      <c r="C4" s="7" t="s">
        <v>132</v>
      </c>
      <c r="D4" s="7" t="s">
        <v>65</v>
      </c>
    </row>
    <row r="5" customFormat="false" ht="15" hidden="false" customHeight="true" outlineLevel="0" collapsed="false">
      <c r="A5" s="8" t="s">
        <v>242</v>
      </c>
      <c r="B5" s="28" t="n">
        <v>281.62</v>
      </c>
      <c r="C5" s="29" t="s">
        <v>43</v>
      </c>
      <c r="D5" s="31" t="s">
        <v>243</v>
      </c>
    </row>
    <row r="6" customFormat="false" ht="15" hidden="false" customHeight="true" outlineLevel="0" collapsed="false">
      <c r="A6" s="8" t="s">
        <v>244</v>
      </c>
      <c r="B6" s="28" t="n">
        <v>62.4</v>
      </c>
      <c r="C6" s="29" t="s">
        <v>245</v>
      </c>
      <c r="D6" s="31" t="s">
        <v>246</v>
      </c>
    </row>
    <row r="7" customFormat="false" ht="15" hidden="false" customHeight="true" outlineLevel="0" collapsed="false">
      <c r="A7" s="8" t="s">
        <v>247</v>
      </c>
      <c r="B7" s="28" t="n">
        <v>13.64</v>
      </c>
      <c r="C7" s="29" t="s">
        <v>43</v>
      </c>
      <c r="D7" s="31" t="s">
        <v>248</v>
      </c>
    </row>
    <row r="8" customFormat="false" ht="15" hidden="false" customHeight="true" outlineLevel="0" collapsed="false">
      <c r="A8" s="8" t="s">
        <v>249</v>
      </c>
      <c r="B8" s="28" t="n">
        <v>100</v>
      </c>
      <c r="C8" s="29" t="s">
        <v>245</v>
      </c>
      <c r="D8" s="31" t="s">
        <v>250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251</v>
      </c>
    </row>
    <row r="12" customFormat="false" ht="31.5" hidden="false" customHeight="true" outlineLevel="0" collapsed="false">
      <c r="A12" s="7" t="s">
        <v>252</v>
      </c>
      <c r="B12" s="7" t="s">
        <v>253</v>
      </c>
      <c r="C12" s="7" t="s">
        <v>254</v>
      </c>
      <c r="D12" s="7" t="s">
        <v>65</v>
      </c>
    </row>
    <row r="13" customFormat="false" ht="15" hidden="false" customHeight="true" outlineLevel="0" collapsed="false">
      <c r="A13" s="8" t="s">
        <v>255</v>
      </c>
      <c r="B13" s="8" t="s">
        <v>256</v>
      </c>
      <c r="C13" s="29"/>
      <c r="D13" s="31"/>
    </row>
    <row r="14" customFormat="false" ht="15" hidden="false" customHeight="true" outlineLevel="0" collapsed="false">
      <c r="A14" s="8" t="s">
        <v>257</v>
      </c>
      <c r="B14" s="8" t="s">
        <v>258</v>
      </c>
      <c r="C14" s="29"/>
      <c r="D14" s="31"/>
    </row>
    <row r="15" customFormat="false" ht="15" hidden="false" customHeight="true" outlineLevel="0" collapsed="false">
      <c r="A15" s="8" t="s">
        <v>259</v>
      </c>
      <c r="B15" s="8" t="s">
        <v>260</v>
      </c>
      <c r="C15" s="29"/>
      <c r="D15" s="31" t="s">
        <v>261</v>
      </c>
    </row>
    <row r="16" customFormat="false" ht="15" hidden="false" customHeight="true" outlineLevel="0" collapsed="false">
      <c r="A16" s="8" t="s">
        <v>262</v>
      </c>
      <c r="B16" s="8" t="s">
        <v>225</v>
      </c>
      <c r="C16" s="29"/>
      <c r="D16" s="31" t="s">
        <v>263</v>
      </c>
    </row>
    <row r="17" customFormat="false" ht="15" hidden="false" customHeight="true" outlineLevel="0" collapsed="false">
      <c r="A17" s="8" t="s">
        <v>264</v>
      </c>
      <c r="B17" s="8" t="s">
        <v>213</v>
      </c>
      <c r="C17" s="29"/>
      <c r="D17" s="31" t="s">
        <v>265</v>
      </c>
    </row>
    <row r="18" customFormat="false" ht="15" hidden="false" customHeight="true" outlineLevel="0" collapsed="false">
      <c r="A18" s="8" t="s">
        <v>266</v>
      </c>
      <c r="B18" s="8" t="s">
        <v>225</v>
      </c>
      <c r="C18" s="29"/>
      <c r="D18" s="31"/>
    </row>
    <row r="19" customFormat="false" ht="15" hidden="false" customHeight="true" outlineLevel="0" collapsed="false">
      <c r="A19" s="8" t="s">
        <v>267</v>
      </c>
      <c r="B19" s="8" t="s">
        <v>209</v>
      </c>
      <c r="C19" s="29"/>
      <c r="D19" s="31" t="s">
        <v>210</v>
      </c>
    </row>
    <row r="20" customFormat="false" ht="15" hidden="false" customHeight="true" outlineLevel="0" collapsed="false">
      <c r="A20" s="8" t="s">
        <v>268</v>
      </c>
      <c r="B20" s="8" t="s">
        <v>213</v>
      </c>
      <c r="C20" s="29"/>
      <c r="D20" s="31" t="s">
        <v>269</v>
      </c>
    </row>
    <row r="21" customFormat="false" ht="15" hidden="false" customHeight="true" outlineLevel="0" collapsed="false">
      <c r="A21" s="8" t="s">
        <v>270</v>
      </c>
      <c r="B21" s="8" t="s">
        <v>271</v>
      </c>
      <c r="C21" s="29"/>
      <c r="D21" s="31" t="s">
        <v>272</v>
      </c>
    </row>
    <row r="22" customFormat="false" ht="15" hidden="false" customHeight="true" outlineLevel="0" collapsed="false">
      <c r="A22" s="8" t="s">
        <v>273</v>
      </c>
      <c r="B22" s="8" t="s">
        <v>213</v>
      </c>
      <c r="C22" s="29"/>
      <c r="D22" s="31"/>
    </row>
    <row r="23" customFormat="false" ht="15" hidden="false" customHeight="true" outlineLevel="0" collapsed="false">
      <c r="A23" s="8" t="s">
        <v>274</v>
      </c>
      <c r="B23" s="8" t="s">
        <v>213</v>
      </c>
      <c r="C23" s="29"/>
      <c r="D23" s="31"/>
    </row>
    <row r="24" customFormat="false" ht="15" hidden="false" customHeight="true" outlineLevel="0" collapsed="false">
      <c r="A24" s="8" t="s">
        <v>275</v>
      </c>
      <c r="B24" s="8" t="s">
        <v>220</v>
      </c>
      <c r="C24" s="29"/>
      <c r="D24" s="31" t="s">
        <v>276</v>
      </c>
    </row>
    <row r="25" customFormat="false" ht="15" hidden="false" customHeight="true" outlineLevel="0" collapsed="false">
      <c r="A25" s="8" t="s">
        <v>277</v>
      </c>
      <c r="B25" s="8" t="s">
        <v>220</v>
      </c>
      <c r="C25" s="29"/>
      <c r="D25" s="31" t="s">
        <v>278</v>
      </c>
    </row>
    <row r="26" customFormat="false" ht="15" hidden="false" customHeight="true" outlineLevel="0" collapsed="false">
      <c r="A26" s="8" t="s">
        <v>279</v>
      </c>
      <c r="B26" s="8" t="s">
        <v>280</v>
      </c>
      <c r="C26" s="29"/>
      <c r="D26" s="31"/>
    </row>
    <row r="27" customFormat="false" ht="15" hidden="false" customHeight="true" outlineLevel="0" collapsed="false">
      <c r="A27" s="8" t="s">
        <v>281</v>
      </c>
      <c r="B27" s="8" t="s">
        <v>282</v>
      </c>
      <c r="C27" s="29"/>
      <c r="D27" s="31"/>
    </row>
    <row r="28" customFormat="false" ht="15" hidden="false" customHeight="true" outlineLevel="0" collapsed="false">
      <c r="A28" s="8" t="s">
        <v>283</v>
      </c>
      <c r="B28" s="8" t="s">
        <v>209</v>
      </c>
      <c r="C28" s="29"/>
      <c r="D28" s="31"/>
    </row>
    <row r="29" customFormat="false" ht="15" hidden="false" customHeight="true" outlineLevel="0" collapsed="false">
      <c r="A29" s="8" t="s">
        <v>284</v>
      </c>
      <c r="B29" s="8" t="s">
        <v>285</v>
      </c>
      <c r="C29" s="29"/>
      <c r="D29" s="31"/>
    </row>
    <row r="30" customFormat="false" ht="15" hidden="false" customHeight="true" outlineLevel="0" collapsed="false">
      <c r="A30" s="8" t="s">
        <v>286</v>
      </c>
      <c r="B30" s="8" t="s">
        <v>287</v>
      </c>
      <c r="C30" s="29"/>
      <c r="D30" s="31"/>
    </row>
    <row r="31" customFormat="false" ht="15" hidden="false" customHeight="true" outlineLevel="0" collapsed="false">
      <c r="A31" s="8" t="s">
        <v>288</v>
      </c>
      <c r="B31" s="8" t="s">
        <v>289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290</v>
      </c>
    </row>
    <row r="2" customFormat="false" ht="15" hidden="false" customHeight="true" outlineLevel="0" collapsed="false">
      <c r="A2" s="3" t="s">
        <v>291</v>
      </c>
    </row>
    <row r="4" customFormat="false" ht="31.5" hidden="false" customHeight="true" outlineLevel="0" collapsed="false">
      <c r="A4" s="7" t="s">
        <v>171</v>
      </c>
      <c r="B4" s="7" t="s">
        <v>4</v>
      </c>
      <c r="C4" s="7" t="s">
        <v>30</v>
      </c>
      <c r="D4" s="7" t="s">
        <v>292</v>
      </c>
      <c r="E4" s="7" t="s">
        <v>293</v>
      </c>
      <c r="F4" s="7" t="s">
        <v>132</v>
      </c>
      <c r="H4" s="20" t="s">
        <v>294</v>
      </c>
      <c r="I4" s="50" t="n">
        <f aca="false">SUMIFS(E5:E1000,F5:F1000,"Paid")</f>
        <v>3057.8</v>
      </c>
      <c r="J4" s="7" t="s">
        <v>295</v>
      </c>
    </row>
    <row r="5" customFormat="false" ht="15" hidden="false" customHeight="true" outlineLevel="0" collapsed="false">
      <c r="A5" s="51" t="s">
        <v>296</v>
      </c>
      <c r="B5" s="51" t="s">
        <v>297</v>
      </c>
      <c r="C5" s="51" t="s">
        <v>33</v>
      </c>
      <c r="D5" s="51" t="s">
        <v>298</v>
      </c>
      <c r="E5" s="52" t="n">
        <v>667.6</v>
      </c>
      <c r="F5" s="51" t="s">
        <v>43</v>
      </c>
      <c r="H5" s="20" t="s">
        <v>44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296</v>
      </c>
      <c r="B6" s="51" t="s">
        <v>297</v>
      </c>
      <c r="C6" s="51" t="s">
        <v>40</v>
      </c>
      <c r="D6" s="51" t="s">
        <v>299</v>
      </c>
      <c r="E6" s="52" t="n">
        <v>281.62</v>
      </c>
      <c r="F6" s="51" t="s">
        <v>43</v>
      </c>
      <c r="H6" s="15" t="s">
        <v>300</v>
      </c>
      <c r="I6" s="24" t="n">
        <f aca="false">I4+I5</f>
        <v>3057.8</v>
      </c>
    </row>
    <row r="7" customFormat="false" ht="15" hidden="false" customHeight="true" outlineLevel="0" collapsed="false">
      <c r="A7" s="51" t="s">
        <v>296</v>
      </c>
      <c r="B7" s="51" t="s">
        <v>11</v>
      </c>
      <c r="C7" s="51" t="s">
        <v>34</v>
      </c>
      <c r="D7" s="51" t="s">
        <v>301</v>
      </c>
      <c r="E7" s="52" t="n">
        <v>36</v>
      </c>
      <c r="F7" s="51" t="s">
        <v>43</v>
      </c>
      <c r="H7" s="20" t="s">
        <v>302</v>
      </c>
      <c r="I7" s="27" t="n">
        <f aca="false">Overview!B3-I6</f>
        <v>6942.2</v>
      </c>
    </row>
    <row r="8" customFormat="false" ht="15" hidden="false" customHeight="true" outlineLevel="0" collapsed="false">
      <c r="A8" s="51" t="s">
        <v>303</v>
      </c>
      <c r="B8" s="51" t="s">
        <v>297</v>
      </c>
      <c r="C8" s="51" t="s">
        <v>40</v>
      </c>
      <c r="D8" s="51" t="s">
        <v>304</v>
      </c>
      <c r="E8" s="52" t="n">
        <v>19</v>
      </c>
      <c r="F8" s="51" t="s">
        <v>43</v>
      </c>
    </row>
    <row r="9" customFormat="false" ht="15" hidden="false" customHeight="true" outlineLevel="0" collapsed="false">
      <c r="A9" s="51" t="s">
        <v>305</v>
      </c>
      <c r="B9" s="51" t="s">
        <v>297</v>
      </c>
      <c r="C9" s="51" t="s">
        <v>33</v>
      </c>
      <c r="D9" s="51" t="s">
        <v>306</v>
      </c>
      <c r="E9" s="52" t="n">
        <v>87.7</v>
      </c>
      <c r="F9" s="51" t="s">
        <v>43</v>
      </c>
    </row>
    <row r="10" customFormat="false" ht="15" hidden="false" customHeight="true" outlineLevel="0" collapsed="false">
      <c r="A10" s="51" t="s">
        <v>305</v>
      </c>
      <c r="B10" s="51" t="s">
        <v>13</v>
      </c>
      <c r="C10" s="51" t="s">
        <v>34</v>
      </c>
      <c r="D10" s="51" t="s">
        <v>307</v>
      </c>
      <c r="E10" s="52" t="n">
        <v>239.55</v>
      </c>
      <c r="F10" s="51" t="s">
        <v>43</v>
      </c>
    </row>
    <row r="11" customFormat="false" ht="15" hidden="false" customHeight="true" outlineLevel="0" collapsed="false">
      <c r="A11" s="51" t="s">
        <v>305</v>
      </c>
      <c r="B11" s="51" t="s">
        <v>13</v>
      </c>
      <c r="C11" s="51" t="s">
        <v>34</v>
      </c>
      <c r="D11" s="51" t="s">
        <v>308</v>
      </c>
      <c r="E11" s="52" t="n">
        <v>52.24</v>
      </c>
      <c r="F11" s="51" t="s">
        <v>43</v>
      </c>
    </row>
    <row r="12" customFormat="false" ht="15" hidden="false" customHeight="true" outlineLevel="0" collapsed="false">
      <c r="A12" s="51" t="s">
        <v>309</v>
      </c>
      <c r="B12" s="51" t="s">
        <v>297</v>
      </c>
      <c r="C12" s="51" t="s">
        <v>33</v>
      </c>
      <c r="D12" s="51" t="s">
        <v>310</v>
      </c>
      <c r="E12" s="52" t="n">
        <v>211.52</v>
      </c>
      <c r="F12" s="51" t="s">
        <v>43</v>
      </c>
    </row>
    <row r="13" customFormat="false" ht="15" hidden="false" customHeight="true" outlineLevel="0" collapsed="false">
      <c r="A13" s="51" t="s">
        <v>311</v>
      </c>
      <c r="B13" s="51" t="s">
        <v>13</v>
      </c>
      <c r="C13" s="51" t="s">
        <v>34</v>
      </c>
      <c r="D13" s="51" t="s">
        <v>312</v>
      </c>
      <c r="E13" s="52" t="n">
        <v>137.26</v>
      </c>
      <c r="F13" s="51" t="s">
        <v>43</v>
      </c>
    </row>
    <row r="14" customFormat="false" ht="15" hidden="false" customHeight="true" outlineLevel="0" collapsed="false">
      <c r="A14" s="51" t="s">
        <v>313</v>
      </c>
      <c r="B14" s="51" t="s">
        <v>13</v>
      </c>
      <c r="C14" s="51" t="s">
        <v>34</v>
      </c>
      <c r="D14" s="51" t="s">
        <v>314</v>
      </c>
      <c r="E14" s="52" t="n">
        <v>338.05</v>
      </c>
      <c r="F14" s="51" t="s">
        <v>43</v>
      </c>
    </row>
    <row r="15" customFormat="false" ht="15" hidden="false" customHeight="true" outlineLevel="0" collapsed="false">
      <c r="A15" s="51" t="s">
        <v>315</v>
      </c>
      <c r="B15" s="51" t="s">
        <v>13</v>
      </c>
      <c r="C15" s="51" t="s">
        <v>34</v>
      </c>
      <c r="D15" s="51" t="s">
        <v>316</v>
      </c>
      <c r="E15" s="52" t="n">
        <v>66.78</v>
      </c>
      <c r="F15" s="51" t="s">
        <v>43</v>
      </c>
    </row>
    <row r="16" customFormat="false" ht="15" hidden="false" customHeight="true" outlineLevel="0" collapsed="false">
      <c r="A16" s="51" t="s">
        <v>315</v>
      </c>
      <c r="B16" s="51" t="s">
        <v>13</v>
      </c>
      <c r="C16" s="51" t="s">
        <v>34</v>
      </c>
      <c r="D16" s="51" t="s">
        <v>317</v>
      </c>
      <c r="E16" s="52" t="n">
        <v>300.97</v>
      </c>
      <c r="F16" s="51" t="s">
        <v>43</v>
      </c>
    </row>
    <row r="17" customFormat="false" ht="15" hidden="false" customHeight="true" outlineLevel="0" collapsed="false">
      <c r="A17" s="51" t="s">
        <v>315</v>
      </c>
      <c r="B17" s="51" t="s">
        <v>13</v>
      </c>
      <c r="C17" s="51" t="s">
        <v>34</v>
      </c>
      <c r="D17" s="51" t="s">
        <v>318</v>
      </c>
      <c r="E17" s="52" t="n">
        <v>226.17</v>
      </c>
      <c r="F17" s="51" t="s">
        <v>43</v>
      </c>
    </row>
    <row r="18" customFormat="false" ht="15" hidden="false" customHeight="true" outlineLevel="0" collapsed="false">
      <c r="A18" s="51" t="s">
        <v>319</v>
      </c>
      <c r="B18" s="51" t="s">
        <v>297</v>
      </c>
      <c r="C18" s="51" t="s">
        <v>40</v>
      </c>
      <c r="D18" s="51" t="s">
        <v>247</v>
      </c>
      <c r="E18" s="52" t="n">
        <v>13.64</v>
      </c>
      <c r="F18" s="51" t="s">
        <v>43</v>
      </c>
    </row>
    <row r="19" customFormat="false" ht="15" hidden="false" customHeight="true" outlineLevel="0" collapsed="false">
      <c r="A19" s="51" t="s">
        <v>320</v>
      </c>
      <c r="B19" s="51" t="s">
        <v>297</v>
      </c>
      <c r="C19" s="51" t="s">
        <v>40</v>
      </c>
      <c r="D19" s="51" t="s">
        <v>321</v>
      </c>
      <c r="E19" s="52" t="n">
        <v>32.4</v>
      </c>
      <c r="F19" s="51" t="s">
        <v>43</v>
      </c>
    </row>
    <row r="20" customFormat="false" ht="15" hidden="false" customHeight="true" outlineLevel="0" collapsed="false">
      <c r="A20" s="51" t="s">
        <v>320</v>
      </c>
      <c r="B20" s="51" t="s">
        <v>11</v>
      </c>
      <c r="C20" s="51" t="s">
        <v>36</v>
      </c>
      <c r="D20" s="51" t="s">
        <v>322</v>
      </c>
      <c r="E20" s="52" t="n">
        <v>2.95</v>
      </c>
      <c r="F20" s="51" t="s">
        <v>43</v>
      </c>
      <c r="J20" s="1" t="s">
        <v>323</v>
      </c>
    </row>
    <row r="21" customFormat="false" ht="15" hidden="false" customHeight="true" outlineLevel="0" collapsed="false">
      <c r="A21" s="51" t="s">
        <v>320</v>
      </c>
      <c r="B21" s="51" t="s">
        <v>11</v>
      </c>
      <c r="C21" s="51" t="s">
        <v>35</v>
      </c>
      <c r="D21" s="51" t="s">
        <v>324</v>
      </c>
      <c r="E21" s="52" t="n">
        <v>3.05</v>
      </c>
      <c r="F21" s="51" t="s">
        <v>43</v>
      </c>
      <c r="J21" s="1" t="s">
        <v>325</v>
      </c>
    </row>
    <row r="22" customFormat="false" ht="15" hidden="false" customHeight="true" outlineLevel="0" collapsed="false">
      <c r="A22" s="51" t="s">
        <v>320</v>
      </c>
      <c r="B22" s="51" t="s">
        <v>11</v>
      </c>
      <c r="C22" s="51" t="s">
        <v>35</v>
      </c>
      <c r="D22" s="51" t="s">
        <v>35</v>
      </c>
      <c r="E22" s="52" t="n">
        <v>14.91</v>
      </c>
      <c r="F22" s="51" t="s">
        <v>43</v>
      </c>
      <c r="J22" s="1" t="s">
        <v>326</v>
      </c>
    </row>
    <row r="23" customFormat="false" ht="15" hidden="false" customHeight="true" outlineLevel="0" collapsed="false">
      <c r="A23" s="51" t="s">
        <v>327</v>
      </c>
      <c r="B23" s="51" t="s">
        <v>11</v>
      </c>
      <c r="C23" s="51" t="s">
        <v>35</v>
      </c>
      <c r="D23" s="51" t="s">
        <v>328</v>
      </c>
      <c r="E23" s="52" t="n">
        <v>3.4</v>
      </c>
      <c r="F23" s="51" t="s">
        <v>43</v>
      </c>
      <c r="J23" s="1" t="s">
        <v>329</v>
      </c>
    </row>
    <row r="24" customFormat="false" ht="15" hidden="false" customHeight="true" outlineLevel="0" collapsed="false">
      <c r="A24" s="51" t="s">
        <v>327</v>
      </c>
      <c r="B24" s="51" t="s">
        <v>11</v>
      </c>
      <c r="C24" s="51" t="s">
        <v>35</v>
      </c>
      <c r="D24" s="51" t="s">
        <v>330</v>
      </c>
      <c r="E24" s="52" t="n">
        <v>2.55</v>
      </c>
      <c r="F24" s="51" t="s">
        <v>43</v>
      </c>
      <c r="J24" s="1" t="s">
        <v>331</v>
      </c>
    </row>
    <row r="25" customFormat="false" ht="15" hidden="false" customHeight="true" outlineLevel="0" collapsed="false">
      <c r="A25" s="51" t="s">
        <v>327</v>
      </c>
      <c r="B25" s="51" t="s">
        <v>11</v>
      </c>
      <c r="C25" s="51" t="s">
        <v>36</v>
      </c>
      <c r="D25" s="51" t="s">
        <v>322</v>
      </c>
      <c r="E25" s="52" t="n">
        <v>5.9</v>
      </c>
      <c r="F25" s="51" t="s">
        <v>43</v>
      </c>
      <c r="J25" s="1" t="s">
        <v>332</v>
      </c>
    </row>
    <row r="26" customFormat="false" ht="15" hidden="false" customHeight="true" outlineLevel="0" collapsed="false">
      <c r="A26" s="51" t="s">
        <v>327</v>
      </c>
      <c r="B26" s="51" t="s">
        <v>11</v>
      </c>
      <c r="C26" s="51" t="s">
        <v>35</v>
      </c>
      <c r="D26" s="51" t="s">
        <v>333</v>
      </c>
      <c r="E26" s="52" t="n">
        <v>8.5</v>
      </c>
      <c r="F26" s="51" t="s">
        <v>43</v>
      </c>
      <c r="J26" s="1" t="s">
        <v>334</v>
      </c>
    </row>
    <row r="27" customFormat="false" ht="15" hidden="false" customHeight="true" outlineLevel="0" collapsed="false">
      <c r="A27" s="51" t="s">
        <v>327</v>
      </c>
      <c r="B27" s="51" t="s">
        <v>11</v>
      </c>
      <c r="C27" s="51" t="s">
        <v>35</v>
      </c>
      <c r="D27" s="51" t="s">
        <v>335</v>
      </c>
      <c r="E27" s="52" t="n">
        <v>8.87</v>
      </c>
      <c r="F27" s="51" t="s">
        <v>43</v>
      </c>
      <c r="J27" s="1" t="s">
        <v>336</v>
      </c>
    </row>
    <row r="28" customFormat="false" ht="15" hidden="false" customHeight="true" outlineLevel="0" collapsed="false">
      <c r="A28" s="51" t="s">
        <v>327</v>
      </c>
      <c r="B28" s="51" t="s">
        <v>11</v>
      </c>
      <c r="C28" s="51" t="s">
        <v>39</v>
      </c>
      <c r="D28" s="51" t="s">
        <v>337</v>
      </c>
      <c r="E28" s="52" t="n">
        <v>3.4</v>
      </c>
      <c r="F28" s="51" t="s">
        <v>43</v>
      </c>
      <c r="J28" s="1" t="s">
        <v>338</v>
      </c>
    </row>
    <row r="29" customFormat="false" ht="15" hidden="false" customHeight="true" outlineLevel="0" collapsed="false">
      <c r="A29" s="51" t="s">
        <v>327</v>
      </c>
      <c r="B29" s="51" t="s">
        <v>11</v>
      </c>
      <c r="C29" s="51" t="s">
        <v>35</v>
      </c>
      <c r="D29" s="51" t="s">
        <v>339</v>
      </c>
      <c r="E29" s="52" t="n">
        <v>1.98</v>
      </c>
      <c r="F29" s="51" t="s">
        <v>43</v>
      </c>
      <c r="J29" s="1" t="s">
        <v>340</v>
      </c>
    </row>
    <row r="30" customFormat="false" ht="15" hidden="false" customHeight="true" outlineLevel="0" collapsed="false">
      <c r="A30" s="51" t="s">
        <v>341</v>
      </c>
      <c r="B30" s="51" t="s">
        <v>11</v>
      </c>
      <c r="C30" s="51" t="s">
        <v>35</v>
      </c>
      <c r="D30" s="51" t="s">
        <v>342</v>
      </c>
      <c r="E30" s="52" t="n">
        <v>4.26</v>
      </c>
      <c r="F30" s="51" t="s">
        <v>43</v>
      </c>
      <c r="J30" s="1" t="s">
        <v>343</v>
      </c>
    </row>
    <row r="31" customFormat="false" ht="15" hidden="false" customHeight="true" outlineLevel="0" collapsed="false">
      <c r="A31" s="51" t="s">
        <v>344</v>
      </c>
      <c r="B31" s="51" t="s">
        <v>13</v>
      </c>
      <c r="C31" s="51" t="s">
        <v>37</v>
      </c>
      <c r="D31" s="51" t="s">
        <v>345</v>
      </c>
      <c r="E31" s="52" t="n">
        <v>23.25</v>
      </c>
      <c r="F31" s="51" t="s">
        <v>43</v>
      </c>
      <c r="J31" s="1" t="s">
        <v>346</v>
      </c>
    </row>
    <row r="32" customFormat="false" ht="15" hidden="false" customHeight="true" outlineLevel="0" collapsed="false">
      <c r="A32" s="51" t="s">
        <v>341</v>
      </c>
      <c r="B32" s="51" t="s">
        <v>11</v>
      </c>
      <c r="C32" s="51" t="s">
        <v>35</v>
      </c>
      <c r="D32" s="51" t="s">
        <v>347</v>
      </c>
      <c r="E32" s="52" t="n">
        <v>6.76</v>
      </c>
      <c r="F32" s="51" t="s">
        <v>43</v>
      </c>
      <c r="J32" s="1" t="s">
        <v>348</v>
      </c>
    </row>
    <row r="33" customFormat="false" ht="15" hidden="false" customHeight="true" outlineLevel="0" collapsed="false">
      <c r="A33" s="51" t="s">
        <v>341</v>
      </c>
      <c r="B33" s="51" t="s">
        <v>11</v>
      </c>
      <c r="C33" s="51" t="s">
        <v>35</v>
      </c>
      <c r="D33" s="51" t="s">
        <v>339</v>
      </c>
      <c r="E33" s="52" t="n">
        <v>1.99</v>
      </c>
      <c r="F33" s="51" t="s">
        <v>43</v>
      </c>
      <c r="J33" s="1" t="s">
        <v>349</v>
      </c>
    </row>
    <row r="34" customFormat="false" ht="15" hidden="false" customHeight="true" outlineLevel="0" collapsed="false">
      <c r="A34" s="51" t="s">
        <v>341</v>
      </c>
      <c r="B34" s="51" t="s">
        <v>11</v>
      </c>
      <c r="C34" s="51" t="s">
        <v>35</v>
      </c>
      <c r="D34" s="51" t="s">
        <v>350</v>
      </c>
      <c r="E34" s="52" t="n">
        <v>2.78</v>
      </c>
      <c r="F34" s="51" t="s">
        <v>43</v>
      </c>
      <c r="J34" s="1" t="s">
        <v>351</v>
      </c>
    </row>
    <row r="35" customFormat="false" ht="15" hidden="false" customHeight="true" outlineLevel="0" collapsed="false">
      <c r="A35" s="51" t="s">
        <v>341</v>
      </c>
      <c r="B35" s="51" t="s">
        <v>11</v>
      </c>
      <c r="C35" s="51" t="s">
        <v>35</v>
      </c>
      <c r="D35" s="51" t="s">
        <v>352</v>
      </c>
      <c r="E35" s="52" t="n">
        <v>36.63</v>
      </c>
      <c r="F35" s="51" t="s">
        <v>43</v>
      </c>
      <c r="J35" s="1" t="s">
        <v>353</v>
      </c>
    </row>
    <row r="36" customFormat="false" ht="15" hidden="false" customHeight="true" outlineLevel="0" collapsed="false">
      <c r="A36" s="51" t="s">
        <v>341</v>
      </c>
      <c r="B36" s="51" t="s">
        <v>11</v>
      </c>
      <c r="C36" s="51" t="s">
        <v>39</v>
      </c>
      <c r="D36" s="51" t="s">
        <v>354</v>
      </c>
      <c r="E36" s="52" t="n">
        <v>17.35</v>
      </c>
      <c r="F36" s="51" t="s">
        <v>43</v>
      </c>
      <c r="J36" s="1" t="s">
        <v>355</v>
      </c>
    </row>
    <row r="37" customFormat="false" ht="15" hidden="false" customHeight="true" outlineLevel="0" collapsed="false">
      <c r="A37" s="51" t="s">
        <v>341</v>
      </c>
      <c r="B37" s="51" t="s">
        <v>11</v>
      </c>
      <c r="C37" s="51" t="s">
        <v>38</v>
      </c>
      <c r="D37" s="51" t="s">
        <v>356</v>
      </c>
      <c r="E37" s="52" t="n">
        <v>13.57</v>
      </c>
      <c r="F37" s="51" t="s">
        <v>43</v>
      </c>
      <c r="J37" s="1" t="s">
        <v>357</v>
      </c>
    </row>
    <row r="38" customFormat="false" ht="15" hidden="false" customHeight="true" outlineLevel="0" collapsed="false">
      <c r="A38" s="51" t="s">
        <v>344</v>
      </c>
      <c r="B38" s="51" t="s">
        <v>13</v>
      </c>
      <c r="C38" s="51" t="s">
        <v>36</v>
      </c>
      <c r="D38" s="51" t="s">
        <v>322</v>
      </c>
      <c r="E38" s="52" t="n">
        <v>2.96</v>
      </c>
      <c r="F38" s="51" t="s">
        <v>43</v>
      </c>
      <c r="J38" s="1" t="s">
        <v>358</v>
      </c>
    </row>
    <row r="39" customFormat="false" ht="15" hidden="false" customHeight="true" outlineLevel="0" collapsed="false">
      <c r="A39" s="51" t="s">
        <v>344</v>
      </c>
      <c r="B39" s="51" t="s">
        <v>13</v>
      </c>
      <c r="C39" s="51" t="s">
        <v>39</v>
      </c>
      <c r="D39" s="51" t="s">
        <v>359</v>
      </c>
      <c r="E39" s="52" t="n">
        <v>20.55</v>
      </c>
      <c r="F39" s="51" t="s">
        <v>43</v>
      </c>
      <c r="J39" s="1" t="s">
        <v>360</v>
      </c>
    </row>
    <row r="40" customFormat="false" ht="15" hidden="false" customHeight="true" outlineLevel="0" collapsed="false">
      <c r="A40" s="51" t="s">
        <v>344</v>
      </c>
      <c r="B40" s="51" t="s">
        <v>13</v>
      </c>
      <c r="C40" s="51" t="s">
        <v>36</v>
      </c>
      <c r="D40" s="51" t="s">
        <v>361</v>
      </c>
      <c r="E40" s="52" t="n">
        <v>4.74</v>
      </c>
      <c r="F40" s="51" t="s">
        <v>43</v>
      </c>
      <c r="J40" s="1" t="s">
        <v>362</v>
      </c>
    </row>
    <row r="41" customFormat="false" ht="15" hidden="false" customHeight="true" outlineLevel="0" collapsed="false">
      <c r="A41" s="51" t="s">
        <v>344</v>
      </c>
      <c r="B41" s="51" t="s">
        <v>13</v>
      </c>
      <c r="C41" s="51" t="s">
        <v>35</v>
      </c>
      <c r="D41" s="51" t="s">
        <v>363</v>
      </c>
      <c r="E41" s="52" t="n">
        <v>8.54</v>
      </c>
      <c r="F41" s="51" t="s">
        <v>43</v>
      </c>
      <c r="J41" s="1" t="s">
        <v>364</v>
      </c>
    </row>
    <row r="42" customFormat="false" ht="15" hidden="false" customHeight="true" outlineLevel="0" collapsed="false">
      <c r="A42" s="51" t="s">
        <v>344</v>
      </c>
      <c r="B42" s="51" t="s">
        <v>13</v>
      </c>
      <c r="C42" s="51" t="s">
        <v>35</v>
      </c>
      <c r="D42" s="51" t="s">
        <v>365</v>
      </c>
      <c r="E42" s="52" t="n">
        <v>4.27</v>
      </c>
      <c r="F42" s="51" t="s">
        <v>43</v>
      </c>
      <c r="J42" s="1" t="s">
        <v>366</v>
      </c>
    </row>
    <row r="43" customFormat="false" ht="15" hidden="false" customHeight="true" outlineLevel="0" collapsed="false">
      <c r="A43" s="51" t="s">
        <v>344</v>
      </c>
      <c r="B43" s="51" t="s">
        <v>13</v>
      </c>
      <c r="C43" s="51" t="s">
        <v>39</v>
      </c>
      <c r="D43" s="51" t="s">
        <v>367</v>
      </c>
      <c r="E43" s="52" t="n">
        <v>3.32</v>
      </c>
      <c r="F43" s="51" t="s">
        <v>43</v>
      </c>
      <c r="J43" s="1" t="s">
        <v>368</v>
      </c>
    </row>
    <row r="44" customFormat="false" ht="15" hidden="false" customHeight="true" outlineLevel="0" collapsed="false">
      <c r="A44" s="51" t="s">
        <v>369</v>
      </c>
      <c r="B44" s="51" t="s">
        <v>13</v>
      </c>
      <c r="C44" s="51" t="s">
        <v>35</v>
      </c>
      <c r="D44" s="51" t="s">
        <v>370</v>
      </c>
      <c r="E44" s="52" t="n">
        <v>2.87</v>
      </c>
      <c r="F44" s="51" t="s">
        <v>43</v>
      </c>
      <c r="J44" s="1" t="s">
        <v>371</v>
      </c>
    </row>
    <row r="45" customFormat="false" ht="15" hidden="false" customHeight="true" outlineLevel="0" collapsed="false">
      <c r="A45" s="51" t="s">
        <v>369</v>
      </c>
      <c r="B45" s="51" t="s">
        <v>13</v>
      </c>
      <c r="C45" s="51" t="s">
        <v>35</v>
      </c>
      <c r="D45" s="51" t="s">
        <v>372</v>
      </c>
      <c r="E45" s="52" t="n">
        <v>3.13</v>
      </c>
      <c r="F45" s="51" t="s">
        <v>43</v>
      </c>
      <c r="J45" s="1" t="s">
        <v>373</v>
      </c>
    </row>
    <row r="46" customFormat="false" ht="15" hidden="false" customHeight="true" outlineLevel="0" collapsed="false">
      <c r="A46" s="51" t="s">
        <v>369</v>
      </c>
      <c r="B46" s="51" t="s">
        <v>13</v>
      </c>
      <c r="C46" s="51" t="s">
        <v>35</v>
      </c>
      <c r="D46" s="51" t="s">
        <v>374</v>
      </c>
      <c r="E46" s="52" t="n">
        <v>2.89</v>
      </c>
      <c r="F46" s="51" t="s">
        <v>43</v>
      </c>
      <c r="J46" s="1" t="s">
        <v>375</v>
      </c>
    </row>
    <row r="47" customFormat="false" ht="15" hidden="false" customHeight="true" outlineLevel="0" collapsed="false">
      <c r="A47" s="51" t="s">
        <v>369</v>
      </c>
      <c r="B47" s="51" t="s">
        <v>13</v>
      </c>
      <c r="C47" s="51" t="s">
        <v>35</v>
      </c>
      <c r="D47" s="51" t="s">
        <v>376</v>
      </c>
      <c r="E47" s="52" t="n">
        <v>3.3</v>
      </c>
      <c r="F47" s="51" t="s">
        <v>43</v>
      </c>
      <c r="J47" s="1" t="s">
        <v>377</v>
      </c>
    </row>
    <row r="48" customFormat="false" ht="15" hidden="false" customHeight="true" outlineLevel="0" collapsed="false">
      <c r="A48" s="51" t="s">
        <v>369</v>
      </c>
      <c r="B48" s="51" t="s">
        <v>13</v>
      </c>
      <c r="C48" s="51" t="s">
        <v>39</v>
      </c>
      <c r="D48" s="51" t="s">
        <v>378</v>
      </c>
      <c r="E48" s="52" t="n">
        <v>10.41</v>
      </c>
      <c r="F48" s="51" t="s">
        <v>43</v>
      </c>
      <c r="J48" s="1" t="s">
        <v>379</v>
      </c>
    </row>
    <row r="49" customFormat="false" ht="15" hidden="false" customHeight="true" outlineLevel="0" collapsed="false">
      <c r="A49" s="51" t="s">
        <v>369</v>
      </c>
      <c r="B49" s="51" t="s">
        <v>13</v>
      </c>
      <c r="C49" s="51" t="s">
        <v>35</v>
      </c>
      <c r="D49" s="51" t="s">
        <v>380</v>
      </c>
      <c r="E49" s="52" t="n">
        <v>47.8</v>
      </c>
      <c r="F49" s="51" t="s">
        <v>43</v>
      </c>
      <c r="J49" s="1" t="s">
        <v>381</v>
      </c>
    </row>
    <row r="50" customFormat="false" ht="15" hidden="false" customHeight="true" outlineLevel="0" collapsed="false">
      <c r="A50" s="51" t="s">
        <v>369</v>
      </c>
      <c r="B50" s="51" t="s">
        <v>13</v>
      </c>
      <c r="C50" s="51" t="s">
        <v>35</v>
      </c>
      <c r="D50" s="51" t="s">
        <v>382</v>
      </c>
      <c r="E50" s="52" t="n">
        <v>0.72</v>
      </c>
      <c r="F50" s="51" t="s">
        <v>43</v>
      </c>
      <c r="J50" s="1" t="s">
        <v>383</v>
      </c>
    </row>
    <row r="51" customFormat="false" ht="15" hidden="false" customHeight="true" outlineLevel="0" collapsed="false">
      <c r="A51" s="51" t="s">
        <v>369</v>
      </c>
      <c r="B51" s="51" t="s">
        <v>13</v>
      </c>
      <c r="C51" s="51" t="s">
        <v>35</v>
      </c>
      <c r="D51" s="51" t="s">
        <v>384</v>
      </c>
      <c r="E51" s="52" t="n">
        <v>1.31</v>
      </c>
      <c r="F51" s="51" t="s">
        <v>43</v>
      </c>
      <c r="J51" s="1" t="s">
        <v>385</v>
      </c>
    </row>
    <row r="52" customFormat="false" ht="15" hidden="false" customHeight="true" outlineLevel="0" collapsed="false">
      <c r="A52" s="51" t="s">
        <v>369</v>
      </c>
      <c r="B52" s="51" t="s">
        <v>13</v>
      </c>
      <c r="C52" s="51" t="s">
        <v>34</v>
      </c>
      <c r="D52" s="51" t="s">
        <v>386</v>
      </c>
      <c r="E52" s="52" t="n">
        <v>14.34</v>
      </c>
      <c r="F52" s="51" t="s">
        <v>43</v>
      </c>
      <c r="J52" s="1" t="s">
        <v>387</v>
      </c>
    </row>
    <row r="53" customFormat="false" ht="15" hidden="false" customHeight="true" outlineLevel="0" collapsed="false">
      <c r="A53" s="51" t="s">
        <v>369</v>
      </c>
      <c r="B53" s="51" t="s">
        <v>13</v>
      </c>
      <c r="C53" s="51" t="s">
        <v>35</v>
      </c>
      <c r="D53" s="51" t="s">
        <v>388</v>
      </c>
      <c r="E53" s="52" t="n">
        <v>4.78</v>
      </c>
      <c r="F53" s="51" t="s">
        <v>43</v>
      </c>
      <c r="J53" s="1" t="s">
        <v>389</v>
      </c>
    </row>
    <row r="54" customFormat="false" ht="15" hidden="false" customHeight="true" outlineLevel="0" collapsed="false">
      <c r="A54" s="51" t="s">
        <v>390</v>
      </c>
      <c r="B54" s="51" t="s">
        <v>13</v>
      </c>
      <c r="C54" s="51" t="s">
        <v>35</v>
      </c>
      <c r="D54" s="51" t="s">
        <v>391</v>
      </c>
      <c r="E54" s="52" t="n">
        <v>3.66</v>
      </c>
      <c r="F54" s="51" t="s">
        <v>43</v>
      </c>
      <c r="J54" s="1" t="s">
        <v>392</v>
      </c>
    </row>
    <row r="55" customFormat="false" ht="15" hidden="false" customHeight="true" outlineLevel="0" collapsed="false">
      <c r="A55" s="51" t="s">
        <v>390</v>
      </c>
      <c r="B55" s="51" t="s">
        <v>13</v>
      </c>
      <c r="C55" s="51" t="s">
        <v>35</v>
      </c>
      <c r="D55" s="51" t="s">
        <v>347</v>
      </c>
      <c r="E55" s="52" t="n">
        <v>30.86</v>
      </c>
      <c r="F55" s="51" t="s">
        <v>43</v>
      </c>
      <c r="J55" s="1" t="s">
        <v>393</v>
      </c>
    </row>
    <row r="56" customFormat="false" ht="15" hidden="false" customHeight="true" outlineLevel="0" collapsed="false">
      <c r="A56" s="51" t="s">
        <v>390</v>
      </c>
      <c r="B56" s="51" t="s">
        <v>13</v>
      </c>
      <c r="C56" s="51" t="s">
        <v>35</v>
      </c>
      <c r="D56" s="51" t="s">
        <v>394</v>
      </c>
      <c r="E56" s="52" t="n">
        <v>2.93</v>
      </c>
      <c r="F56" s="51" t="s">
        <v>43</v>
      </c>
      <c r="J56" s="1" t="s">
        <v>395</v>
      </c>
    </row>
    <row r="57" customFormat="false" ht="15" hidden="false" customHeight="true" outlineLevel="0" collapsed="false">
      <c r="A57" s="51" t="s">
        <v>396</v>
      </c>
      <c r="B57" s="51" t="s">
        <v>13</v>
      </c>
      <c r="C57" s="51" t="s">
        <v>35</v>
      </c>
      <c r="D57" s="51" t="s">
        <v>374</v>
      </c>
      <c r="E57" s="52" t="n">
        <v>8.02</v>
      </c>
      <c r="F57" s="51" t="s">
        <v>43</v>
      </c>
      <c r="J57" s="1" t="s">
        <v>397</v>
      </c>
    </row>
    <row r="58" customFormat="false" ht="15" hidden="false" customHeight="true" outlineLevel="0" collapsed="false">
      <c r="A58" s="51" t="s">
        <v>396</v>
      </c>
      <c r="B58" s="51" t="s">
        <v>13</v>
      </c>
      <c r="C58" s="51" t="s">
        <v>35</v>
      </c>
      <c r="D58" s="51" t="s">
        <v>372</v>
      </c>
      <c r="E58" s="52" t="n">
        <v>3.8</v>
      </c>
      <c r="F58" s="51" t="s">
        <v>43</v>
      </c>
      <c r="J58" s="1" t="s">
        <v>398</v>
      </c>
    </row>
    <row r="59" customFormat="false" ht="15" hidden="false" customHeight="true" outlineLevel="0" collapsed="false">
      <c r="A59" s="51"/>
      <c r="B59" s="51"/>
      <c r="C59" s="51"/>
      <c r="D59" s="51"/>
      <c r="E59" s="52"/>
      <c r="F59" s="51"/>
    </row>
    <row r="60" customFormat="false" ht="15" hidden="false" customHeight="true" outlineLevel="0" collapsed="false">
      <c r="A60" s="51"/>
      <c r="B60" s="51"/>
      <c r="C60" s="51"/>
      <c r="D60" s="51"/>
      <c r="E60" s="52"/>
      <c r="F60" s="51"/>
    </row>
    <row r="61" customFormat="false" ht="15" hidden="false" customHeight="true" outlineLevel="0" collapsed="false">
      <c r="A61" s="51"/>
      <c r="B61" s="51"/>
      <c r="C61" s="51"/>
      <c r="D61" s="51"/>
      <c r="E61" s="52"/>
      <c r="F61" s="51"/>
    </row>
    <row r="62" customFormat="false" ht="15" hidden="false" customHeight="true" outlineLevel="0" collapsed="false">
      <c r="A62" s="51"/>
      <c r="B62" s="51"/>
      <c r="C62" s="51"/>
      <c r="D62" s="51"/>
      <c r="E62" s="52"/>
      <c r="F62" s="51"/>
    </row>
    <row r="63" customFormat="false" ht="15" hidden="false" customHeight="true" outlineLevel="0" collapsed="false">
      <c r="A63" s="51"/>
      <c r="B63" s="51"/>
      <c r="C63" s="51"/>
      <c r="D63" s="51"/>
      <c r="E63" s="52"/>
      <c r="F63" s="51"/>
    </row>
    <row r="64" customFormat="false" ht="15" hidden="false" customHeight="true" outlineLevel="0" collapsed="false">
      <c r="A64" s="51"/>
      <c r="B64" s="51"/>
      <c r="C64" s="51"/>
      <c r="D64" s="51"/>
      <c r="E64" s="52"/>
      <c r="F64" s="51"/>
    </row>
    <row r="65" customFormat="false" ht="15" hidden="false" customHeight="true" outlineLevel="0" collapsed="false">
      <c r="A65" s="51"/>
      <c r="B65" s="51"/>
      <c r="C65" s="51"/>
      <c r="D65" s="51"/>
      <c r="E65" s="52"/>
      <c r="F65" s="51"/>
    </row>
    <row r="66" customFormat="false" ht="15" hidden="false" customHeight="true" outlineLevel="0" collapsed="false">
      <c r="A66" s="51"/>
      <c r="B66" s="51"/>
      <c r="C66" s="51"/>
      <c r="D66" s="51"/>
      <c r="E66" s="52"/>
      <c r="F66" s="51"/>
    </row>
    <row r="67" customFormat="false" ht="15" hidden="false" customHeight="true" outlineLevel="0" collapsed="false">
      <c r="A67" s="51"/>
      <c r="B67" s="51"/>
      <c r="C67" s="51"/>
      <c r="D67" s="51"/>
      <c r="E67" s="52"/>
      <c r="F67" s="51"/>
    </row>
    <row r="68" customFormat="false" ht="15" hidden="false" customHeight="true" outlineLevel="0" collapsed="false">
      <c r="A68" s="51"/>
      <c r="B68" s="51"/>
      <c r="C68" s="51"/>
      <c r="D68" s="51"/>
      <c r="E68" s="52"/>
      <c r="F68" s="51"/>
    </row>
    <row r="69" customFormat="false" ht="15" hidden="false" customHeight="true" outlineLevel="0" collapsed="false">
      <c r="A69" s="51"/>
      <c r="B69" s="51"/>
      <c r="C69" s="51"/>
      <c r="D69" s="51"/>
      <c r="E69" s="52"/>
      <c r="F69" s="51"/>
    </row>
    <row r="70" customFormat="false" ht="15" hidden="false" customHeight="true" outlineLevel="0" collapsed="false">
      <c r="A70" s="51"/>
      <c r="B70" s="51"/>
      <c r="C70" s="51"/>
      <c r="D70" s="51"/>
      <c r="E70" s="52"/>
      <c r="F70" s="51"/>
    </row>
    <row r="71" customFormat="false" ht="15" hidden="false" customHeight="true" outlineLevel="0" collapsed="false">
      <c r="A71" s="51"/>
      <c r="B71" s="51"/>
      <c r="C71" s="51"/>
      <c r="D71" s="51"/>
      <c r="E71" s="52"/>
      <c r="F71" s="51"/>
    </row>
    <row r="72" customFormat="false" ht="15" hidden="false" customHeight="true" outlineLevel="0" collapsed="false">
      <c r="A72" s="51"/>
      <c r="B72" s="51"/>
      <c r="C72" s="51"/>
      <c r="D72" s="51"/>
      <c r="E72" s="52"/>
      <c r="F72" s="51"/>
    </row>
    <row r="73" customFormat="false" ht="15" hidden="false" customHeight="true" outlineLevel="0" collapsed="false">
      <c r="A73" s="51"/>
      <c r="B73" s="51"/>
      <c r="C73" s="51"/>
      <c r="D73" s="51"/>
      <c r="E73" s="52"/>
      <c r="F73" s="51"/>
    </row>
    <row r="74" customFormat="false" ht="15" hidden="false" customHeight="true" outlineLevel="0" collapsed="false">
      <c r="A74" s="51"/>
      <c r="B74" s="51"/>
      <c r="C74" s="51"/>
      <c r="D74" s="51"/>
      <c r="E74" s="52"/>
      <c r="F74" s="51"/>
    </row>
    <row r="75" customFormat="false" ht="15" hidden="false" customHeight="true" outlineLevel="0" collapsed="false">
      <c r="A75" s="51"/>
      <c r="B75" s="51"/>
      <c r="C75" s="51"/>
      <c r="D75" s="51"/>
      <c r="E75" s="52"/>
      <c r="F75" s="51"/>
    </row>
    <row r="76" customFormat="false" ht="15" hidden="false" customHeight="true" outlineLevel="0" collapsed="false">
      <c r="A76" s="51"/>
      <c r="B76" s="51"/>
      <c r="C76" s="51"/>
      <c r="D76" s="51"/>
      <c r="E76" s="52"/>
      <c r="F76" s="51"/>
    </row>
    <row r="77" customFormat="false" ht="15" hidden="false" customHeight="true" outlineLevel="0" collapsed="false">
      <c r="A77" s="51"/>
      <c r="B77" s="51"/>
      <c r="C77" s="51"/>
      <c r="D77" s="51"/>
      <c r="E77" s="52"/>
      <c r="F77" s="51"/>
    </row>
    <row r="78" customFormat="false" ht="15" hidden="false" customHeight="true" outlineLevel="0" collapsed="false">
      <c r="A78" s="51"/>
      <c r="B78" s="51"/>
      <c r="C78" s="51"/>
      <c r="D78" s="51"/>
      <c r="E78" s="52"/>
      <c r="F78" s="51"/>
    </row>
    <row r="79" customFormat="false" ht="15" hidden="false" customHeight="true" outlineLevel="0" collapsed="false">
      <c r="A79" s="51"/>
      <c r="B79" s="51"/>
      <c r="C79" s="51"/>
      <c r="D79" s="51"/>
      <c r="E79" s="52"/>
      <c r="F79" s="51"/>
    </row>
    <row r="80" customFormat="false" ht="15" hidden="false" customHeight="true" outlineLevel="0" collapsed="false">
      <c r="A80" s="51"/>
      <c r="B80" s="51"/>
      <c r="C80" s="51"/>
      <c r="D80" s="51"/>
      <c r="E80" s="52"/>
      <c r="F80" s="51"/>
    </row>
    <row r="81" customFormat="false" ht="15" hidden="false" customHeight="true" outlineLevel="0" collapsed="false">
      <c r="A81" s="51"/>
      <c r="B81" s="51"/>
      <c r="C81" s="51"/>
      <c r="D81" s="51"/>
      <c r="E81" s="52"/>
      <c r="F81" s="51"/>
    </row>
    <row r="82" customFormat="false" ht="15" hidden="false" customHeight="true" outlineLevel="0" collapsed="false">
      <c r="A82" s="51"/>
      <c r="B82" s="51"/>
      <c r="C82" s="51"/>
      <c r="D82" s="51"/>
      <c r="E82" s="52"/>
      <c r="F82" s="51"/>
    </row>
    <row r="83" customFormat="false" ht="15" hidden="false" customHeight="true" outlineLevel="0" collapsed="false">
      <c r="A83" s="51"/>
      <c r="B83" s="51"/>
      <c r="C83" s="51"/>
      <c r="D83" s="51"/>
      <c r="E83" s="52"/>
      <c r="F83" s="51"/>
    </row>
    <row r="84" customFormat="false" ht="15" hidden="false" customHeight="true" outlineLevel="0" collapsed="false">
      <c r="A84" s="51"/>
      <c r="B84" s="51"/>
      <c r="C84" s="51"/>
      <c r="D84" s="51"/>
      <c r="E84" s="52"/>
      <c r="F84" s="51"/>
    </row>
    <row r="85" customFormat="false" ht="15" hidden="false" customHeight="true" outlineLevel="0" collapsed="false">
      <c r="A85" s="51"/>
      <c r="B85" s="51"/>
      <c r="C85" s="51"/>
      <c r="D85" s="51"/>
      <c r="E85" s="52"/>
      <c r="F85" s="51"/>
    </row>
    <row r="86" customFormat="false" ht="15" hidden="false" customHeight="true" outlineLevel="0" collapsed="false">
      <c r="A86" s="51"/>
      <c r="B86" s="51"/>
      <c r="C86" s="51"/>
      <c r="D86" s="51"/>
      <c r="E86" s="52"/>
      <c r="F86" s="51"/>
    </row>
    <row r="87" customFormat="false" ht="15" hidden="false" customHeight="true" outlineLevel="0" collapsed="false">
      <c r="A87" s="51"/>
      <c r="B87" s="51"/>
      <c r="C87" s="51"/>
      <c r="D87" s="51"/>
      <c r="E87" s="52"/>
      <c r="F87" s="51"/>
    </row>
    <row r="88" customFormat="false" ht="15" hidden="false" customHeight="true" outlineLevel="0" collapsed="false">
      <c r="A88" s="51"/>
      <c r="B88" s="51"/>
      <c r="C88" s="51"/>
      <c r="D88" s="51"/>
      <c r="E88" s="52"/>
      <c r="F88" s="51"/>
    </row>
    <row r="89" customFormat="false" ht="15" hidden="false" customHeight="true" outlineLevel="0" collapsed="false">
      <c r="A89" s="51"/>
      <c r="B89" s="51"/>
      <c r="C89" s="51"/>
      <c r="D89" s="51"/>
      <c r="E89" s="52"/>
      <c r="F89" s="51"/>
    </row>
    <row r="90" customFormat="false" ht="15" hidden="false" customHeight="true" outlineLevel="0" collapsed="false">
      <c r="A90" s="51"/>
      <c r="B90" s="51"/>
      <c r="C90" s="51"/>
      <c r="D90" s="51"/>
      <c r="E90" s="52"/>
      <c r="F90" s="51"/>
    </row>
    <row r="91" customFormat="false" ht="15" hidden="false" customHeight="true" outlineLevel="0" collapsed="false">
      <c r="A91" s="51"/>
      <c r="B91" s="51"/>
      <c r="C91" s="51"/>
      <c r="D91" s="51"/>
      <c r="E91" s="52"/>
      <c r="F91" s="51"/>
    </row>
    <row r="92" customFormat="false" ht="15" hidden="false" customHeight="true" outlineLevel="0" collapsed="false">
      <c r="A92" s="51"/>
      <c r="B92" s="51"/>
      <c r="C92" s="51"/>
      <c r="D92" s="51"/>
      <c r="E92" s="52"/>
      <c r="F92" s="51"/>
    </row>
    <row r="93" customFormat="false" ht="15" hidden="false" customHeight="true" outlineLevel="0" collapsed="false">
      <c r="A93" s="51"/>
      <c r="B93" s="51"/>
      <c r="C93" s="51"/>
      <c r="D93" s="51"/>
      <c r="E93" s="52"/>
      <c r="F93" s="51"/>
    </row>
    <row r="94" customFormat="false" ht="15" hidden="false" customHeight="true" outlineLevel="0" collapsed="false">
      <c r="A94" s="51"/>
      <c r="B94" s="51"/>
      <c r="C94" s="51"/>
      <c r="D94" s="51"/>
      <c r="E94" s="52"/>
      <c r="F94" s="51"/>
    </row>
    <row r="95" customFormat="false" ht="15" hidden="false" customHeight="true" outlineLevel="0" collapsed="false">
      <c r="A95" s="51"/>
      <c r="B95" s="51"/>
      <c r="C95" s="51"/>
      <c r="D95" s="51"/>
      <c r="E95" s="52"/>
      <c r="F95" s="51"/>
    </row>
    <row r="96" customFormat="false" ht="15" hidden="false" customHeight="true" outlineLevel="0" collapsed="false">
      <c r="A96" s="51"/>
      <c r="B96" s="51"/>
      <c r="C96" s="51"/>
      <c r="D96" s="51"/>
      <c r="E96" s="52"/>
      <c r="F96" s="51"/>
    </row>
    <row r="97" customFormat="false" ht="15" hidden="false" customHeight="true" outlineLevel="0" collapsed="false">
      <c r="A97" s="51"/>
      <c r="B97" s="51"/>
      <c r="C97" s="51"/>
      <c r="D97" s="51"/>
      <c r="E97" s="52"/>
      <c r="F97" s="51"/>
    </row>
    <row r="98" customFormat="false" ht="15" hidden="false" customHeight="true" outlineLevel="0" collapsed="false">
      <c r="A98" s="51"/>
      <c r="B98" s="51"/>
      <c r="C98" s="51"/>
      <c r="D98" s="51"/>
      <c r="E98" s="52"/>
      <c r="F98" s="51"/>
    </row>
    <row r="99" customFormat="false" ht="15" hidden="false" customHeight="true" outlineLevel="0" collapsed="false">
      <c r="A99" s="51"/>
      <c r="B99" s="51"/>
      <c r="C99" s="51"/>
      <c r="D99" s="51"/>
      <c r="E99" s="52"/>
      <c r="F99" s="51"/>
    </row>
    <row r="100" customFormat="false" ht="15" hidden="false" customHeight="true" outlineLevel="0" collapsed="false">
      <c r="A100" s="51"/>
      <c r="B100" s="51"/>
      <c r="C100" s="51"/>
      <c r="D100" s="51"/>
      <c r="E100" s="52"/>
      <c r="F100" s="51"/>
    </row>
    <row r="101" customFormat="false" ht="15" hidden="false" customHeight="true" outlineLevel="0" collapsed="false">
      <c r="A101" s="51"/>
      <c r="B101" s="51"/>
      <c r="C101" s="51"/>
      <c r="D101" s="51"/>
      <c r="E101" s="52"/>
      <c r="F101" s="51"/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/>
    <row r="1000" customFormat="false" ht="15" hidden="false" customHeight="true" outlineLevel="0" collapsed="false"/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transport,Trains &amp; intercity,Activities,Shopping &amp; misc,Insurance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2026-10-25T21:13:59Z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